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mc:AlternateContent xmlns:mc="http://schemas.openxmlformats.org/markup-compatibility/2006">
    <mc:Choice Requires="x15">
      <x15ac:absPath xmlns:x15ac="http://schemas.microsoft.com/office/spreadsheetml/2010/11/ac" url="C:\Users\asase\Downloads\"/>
    </mc:Choice>
  </mc:AlternateContent>
  <xr:revisionPtr revIDLastSave="0" documentId="13_ncr:1_{F9FC0A22-F52E-46DC-8784-9CA51B051799}" xr6:coauthVersionLast="47" xr6:coauthVersionMax="47" xr10:uidLastSave="{00000000-0000-0000-0000-000000000000}"/>
  <bookViews>
    <workbookView xWindow="-120" yWindow="-120" windowWidth="20730" windowHeight="11040" xr2:uid="{00000000-000D-0000-FFFF-FFFF00000000}"/>
  </bookViews>
  <sheets>
    <sheet name="Inventory" sheetId="7" r:id="rId1"/>
    <sheet name="Analysis" sheetId="10" state="hidden" r:id="rId2"/>
    <sheet name="General" sheetId="8" state="hidden" r:id="rId3"/>
    <sheet name="Opening Stock" sheetId="3" state="hidden" r:id="rId4"/>
    <sheet name="Stock In" sheetId="4" state="hidden" r:id="rId5"/>
    <sheet name="Stock Out" sheetId="5" state="hidden" r:id="rId6"/>
    <sheet name="Catalogue" sheetId="2" state="hidden" r:id="rId7"/>
  </sheets>
  <definedNames>
    <definedName name="_xlchart.v5.0" hidden="1">Analysis!$A$4:$A$7</definedName>
    <definedName name="_xlchart.v5.1" hidden="1">Analysis!$B$3</definedName>
    <definedName name="_xlchart.v5.2" hidden="1">Analysis!$B$4:$B$7</definedName>
    <definedName name="ExternalData_1" localSheetId="2" hidden="1">General!$A$1:$F$250</definedName>
    <definedName name="Slicer_Branch">#N/A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9" i="7" l="1"/>
  <c r="L9" i="7"/>
  <c r="M9" i="7" s="1" a="1"/>
  <c r="M9" i="7" s="1"/>
  <c r="K10" i="7"/>
  <c r="L10" i="7"/>
  <c r="M10" i="7" s="1" a="1"/>
  <c r="M10" i="7" s="1"/>
  <c r="K11" i="7"/>
  <c r="L11" i="7"/>
  <c r="N11" i="7" s="1" a="1"/>
  <c r="N11" i="7" s="1"/>
  <c r="K12" i="7"/>
  <c r="L12" i="7"/>
  <c r="N12" i="7" s="1" a="1"/>
  <c r="N12" i="7" s="1"/>
  <c r="K13" i="7"/>
  <c r="L13" i="7"/>
  <c r="M13" i="7" s="1" a="1"/>
  <c r="M13" i="7" s="1"/>
  <c r="K14" i="7"/>
  <c r="L14" i="7"/>
  <c r="N14" i="7" s="1" a="1"/>
  <c r="N14" i="7" s="1"/>
  <c r="K15" i="7"/>
  <c r="L15" i="7"/>
  <c r="N15" i="7" s="1" a="1"/>
  <c r="N15" i="7" s="1"/>
  <c r="K16" i="7"/>
  <c r="L16" i="7"/>
  <c r="N16" i="7" s="1" a="1"/>
  <c r="N16" i="7" s="1"/>
  <c r="K17" i="7"/>
  <c r="L17" i="7"/>
  <c r="N17" i="7" s="1" a="1"/>
  <c r="N17" i="7" s="1"/>
  <c r="K18" i="7"/>
  <c r="L18" i="7"/>
  <c r="M18" i="7" s="1" a="1"/>
  <c r="M18" i="7" s="1"/>
  <c r="K19" i="7"/>
  <c r="L19" i="7"/>
  <c r="M19" i="7" s="1" a="1"/>
  <c r="M19" i="7" s="1"/>
  <c r="K20" i="7"/>
  <c r="L20" i="7"/>
  <c r="N20" i="7" s="1" a="1"/>
  <c r="N20" i="7" s="1"/>
  <c r="K21" i="7"/>
  <c r="L21" i="7"/>
  <c r="M21" i="7" s="1" a="1"/>
  <c r="M21" i="7" s="1"/>
  <c r="K22" i="7"/>
  <c r="L22" i="7"/>
  <c r="N22" i="7" s="1" a="1"/>
  <c r="N22" i="7" s="1"/>
  <c r="K23" i="7"/>
  <c r="L23" i="7"/>
  <c r="N23" i="7" s="1" a="1"/>
  <c r="N23" i="7" s="1"/>
  <c r="L24" i="7"/>
  <c r="J10" i="7"/>
  <c r="J11" i="7"/>
  <c r="J12" i="7"/>
  <c r="J13" i="7"/>
  <c r="J14" i="7"/>
  <c r="J15" i="7"/>
  <c r="J16" i="7"/>
  <c r="J17" i="7"/>
  <c r="J18" i="7"/>
  <c r="J19" i="7"/>
  <c r="J20" i="7"/>
  <c r="J21" i="7"/>
  <c r="J22" i="7"/>
  <c r="J23" i="7"/>
  <c r="J24" i="7"/>
  <c r="J9" i="7"/>
  <c r="B9" i="10"/>
  <c r="B10" i="10"/>
  <c r="B11" i="10"/>
  <c r="B12" i="10"/>
  <c r="A10" i="10"/>
  <c r="A11" i="10"/>
  <c r="A12" i="10"/>
  <c r="A9" i="10"/>
  <c r="M16" i="7" l="1" a="1"/>
  <c r="M16" i="7" s="1"/>
  <c r="M23" i="7" a="1"/>
  <c r="M23" i="7" s="1"/>
  <c r="M15" i="7" a="1"/>
  <c r="M15" i="7" s="1"/>
  <c r="N19" i="7" a="1"/>
  <c r="N19" i="7" s="1"/>
  <c r="N13" i="7" a="1"/>
  <c r="N13" i="7" s="1"/>
  <c r="M11" i="7" a="1"/>
  <c r="M11" i="7" s="1"/>
  <c r="N9" i="7" a="1"/>
  <c r="N9" i="7" s="1"/>
  <c r="N21" i="7" a="1"/>
  <c r="N21" i="7" s="1"/>
  <c r="M20" i="7" a="1"/>
  <c r="M20" i="7" s="1"/>
  <c r="M12" i="7" a="1"/>
  <c r="M12" i="7" s="1"/>
  <c r="N18" i="7" a="1"/>
  <c r="N18" i="7" s="1"/>
  <c r="N10" i="7" a="1"/>
  <c r="N10" i="7" s="1"/>
  <c r="M22" i="7" a="1"/>
  <c r="M22" i="7" s="1"/>
  <c r="M14" i="7" a="1"/>
  <c r="M14" i="7" s="1"/>
  <c r="M17" i="7" a="1"/>
  <c r="M17"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48EACFA-FD88-4F98-A7B3-2FB21A7DB957}" keepAlive="1" name="Query - tblOpening" description="Connection to the 'tblOpening' query in the workbook." type="5" refreshedVersion="0" background="1">
    <dbPr connection="Provider=Microsoft.Mashup.OleDb.1;Data Source=$Workbook$;Location=tblOpening;Extended Properties=&quot;&quot;" command="SELECT * FROM [tblOpening]"/>
  </connection>
  <connection id="2" xr16:uid="{E7F466A2-6CBF-4E31-990E-11B08561CFF8}" keepAlive="1" name="Query - tblOpening1" description="Connection to the 'tblOpening' query in the workbook." type="5" refreshedVersion="8" background="1" saveData="1">
    <dbPr connection="Provider=Microsoft.Mashup.OleDb.1;Data Source=$Workbook$;Location=tblOpening;Extended Properties=&quot;&quot;" command="SELECT * FROM [tblOpening]"/>
  </connection>
  <connection id="3" xr16:uid="{A4C1ACEF-3F47-49CE-B30D-05372062A8DF}" keepAlive="1" name="Query - tblStockIn" description="Connection to the 'tblStockIn' query in the workbook." type="5" refreshedVersion="0" background="1">
    <dbPr connection="Provider=Microsoft.Mashup.OleDb.1;Data Source=$Workbook$;Location=tblStockIn;Extended Properties=&quot;&quot;" command="SELECT * FROM [tblStockIn]"/>
  </connection>
  <connection id="4" xr16:uid="{2CF1594E-8F85-4D17-8003-61245FA45F71}" keepAlive="1" name="Query - tblStockOut" description="Connection to the 'tblStockOut' query in the workbook." type="5" refreshedVersion="0" background="1">
    <dbPr connection="Provider=Microsoft.Mashup.OleDb.1;Data Source=$Workbook$;Location=tblStockOut;Extended Properties=&quot;&quot;" command="SELECT * FROM [tblStockOu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<sst xmlns="http://schemas.openxmlformats.org/spreadsheetml/2006/main" count="1869" uniqueCount="51">
  <si>
    <t>Kumasi, Ashanti Region, Ghana</t>
  </si>
  <si>
    <t>Code</t>
  </si>
  <si>
    <t>Product</t>
  </si>
  <si>
    <t>Branch</t>
  </si>
  <si>
    <t>GH-001</t>
  </si>
  <si>
    <t>Men's Polo T-Shirt (Cotton)</t>
  </si>
  <si>
    <t>GH-002</t>
  </si>
  <si>
    <t>Ladies Ankara Print Dress</t>
  </si>
  <si>
    <t>GH-003</t>
  </si>
  <si>
    <t>Men's Slim Fit Jeans</t>
  </si>
  <si>
    <t>GH-004</t>
  </si>
  <si>
    <t>School Uniform Shirt (White)</t>
  </si>
  <si>
    <t>GH-005</t>
  </si>
  <si>
    <t>Waterproof Rain Jacket</t>
  </si>
  <si>
    <t>GH-006</t>
  </si>
  <si>
    <t>Men's Formal Long-Sleeve Shirt</t>
  </si>
  <si>
    <t>GH-007</t>
  </si>
  <si>
    <t>Sports Sneakers (Running)</t>
  </si>
  <si>
    <t>GH-008</t>
  </si>
  <si>
    <t>Ahenema Leather Sandals</t>
  </si>
  <si>
    <t>GH-009</t>
  </si>
  <si>
    <t>Children's School Sandals</t>
  </si>
  <si>
    <t>GH-010</t>
  </si>
  <si>
    <t>Cotton Ankle Socks (3-Pack)</t>
  </si>
  <si>
    <t>GH-011</t>
  </si>
  <si>
    <t>Ladies Handbag (Faux Leather)</t>
  </si>
  <si>
    <t>GH-012</t>
  </si>
  <si>
    <t>Kente-Print Head Wrap</t>
  </si>
  <si>
    <t>GH-013</t>
  </si>
  <si>
    <t>Men's Cargo Shorts</t>
  </si>
  <si>
    <t>GH-014</t>
  </si>
  <si>
    <t>Baby Romper Set</t>
  </si>
  <si>
    <t>GH-015</t>
  </si>
  <si>
    <t>Wool Blend Cardigan Sweater</t>
  </si>
  <si>
    <t>Date</t>
  </si>
  <si>
    <t>Quantity</t>
  </si>
  <si>
    <t>Adum</t>
  </si>
  <si>
    <t>Bantama</t>
  </si>
  <si>
    <t>Asokwa</t>
  </si>
  <si>
    <t>Suame</t>
  </si>
  <si>
    <t>Type</t>
  </si>
  <si>
    <t>Opening Stock</t>
  </si>
  <si>
    <t>Stock In</t>
  </si>
  <si>
    <t>Stock Out</t>
  </si>
  <si>
    <t>Continental Mall — Product &amp; Branch Catalog</t>
  </si>
  <si>
    <t>Row Labels</t>
  </si>
  <si>
    <t>Grand Total</t>
  </si>
  <si>
    <t>Sum of Quantity</t>
  </si>
  <si>
    <t>INDICATOR</t>
  </si>
  <si>
    <t>SUMMARY OF PRODUCTS</t>
  </si>
  <si>
    <t>Count of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</si>
</sst>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
  </numFmts>
  <fonts count="8" x14ac:knownFonts="1">
    <font>
      <sz val="11"/>
      <color theme="1"/>
      <name val="Calibri"/>
      <family val="2"/>
      <scheme val="minor"/>
    </font>
    <font>
      <b/>
      <sz val="14"/>
      <color rgb="FF1F4E3D"/>
      <name val="Arial"/>
    </font>
    <font>
      <i/>
      <sz val="10"/>
      <color rgb="FF595959"/>
      <name val="Arial"/>
    </font>
    <font>
      <b/>
      <sz val="11"/>
      <color rgb="FFFFFFFF"/>
      <name val="Arial"/>
    </font>
    <font>
      <sz val="10"/>
      <name val="Arial"/>
    </font>
    <font>
      <b/>
      <sz val="11"/>
      <color theme="0"/>
      <name val="Calibri"/>
      <family val="2"/>
      <scheme val="minor"/>
    </font>
    <font>
      <sz val="10"/>
      <name val="Calibri"/>
      <family val="2"/>
      <scheme val="minor"/>
    </font>
    <font>
      <b/>
      <sz val="12"/>
      <color theme="1"/>
      <name val="Calibri"/>
      <family val="2"/>
      <scheme val="minor"/>
    </font>
  </fonts>
  <fills count="4">
    <fill>
      <patternFill patternType="none"/>
    </fill>
    <fill>
      <patternFill patternType="gray125"/>
    </fill>
    <fill>
      <patternFill patternType="solid">
        <fgColor rgb="FF1F4E3D"/>
      </patternFill>
    </fill>
    <fill>
      <patternFill patternType="solid">
        <fgColor theme="3" tint="0.39997558519241921"/>
        <bgColor indexed="64"/>
      </patternFill>
    </fill>
  </fills>
  <borders count="2">
    <border>
      <left/>
      <right/>
      <top/>
      <bottom/>
      <diagonal/>
    </border>
    <border>
      <left style="thin">
        <color rgb="FFD9D9D9"/>
      </left>
      <right style="thin">
        <color rgb="FFD9D9D9"/>
      </right>
      <top style="thin">
        <color rgb="FFD9D9D9"/>
      </top>
      <bottom style="thin">
        <color rgb="FFD9D9D9"/>
      </bottom>
      <diagonal/>
    </border>
  </borders>
  <cellStyleXfs count="1">
    <xf numFmtId="0" fontId="0" fillId="0" borderId="0"/>
  </cellStyleXfs>
  <cellXfs count="14">
    <xf numFmtId="0" fontId="0" fillId="0" borderId="0" xfId="0"/>
    <xf numFmtId="0" fontId="1" fillId="0" borderId="0" xfId="0" applyFont="1"/>
    <xf numFmtId="0" fontId="2" fillId="0" borderId="0" xfId="0" applyFont="1"/>
    <xf numFmtId="0" fontId="3" fillId="2" borderId="1" xfId="0" applyFont="1" applyFill="1" applyBorder="1" applyAlignment="1">
      <alignment horizontal="center" vertical="center"/>
    </xf>
    <xf numFmtId="0" fontId="4" fillId="0" borderId="1" xfId="0" applyFont="1" applyBorder="1"/>
    <xf numFmtId="0" fontId="0" fillId="0" borderId="0" xfId="0" pivotButton="1"/>
    <xf numFmtId="0" fontId="0" fillId="0" borderId="0" xfId="0" applyAlignment="1">
      <alignment horizontal="left"/>
    </xf>
    <xf numFmtId="0" fontId="5" fillId="3" borderId="0" xfId="0" applyFont="1" applyFill="1"/>
    <xf numFmtId="0" fontId="7" fillId="0" borderId="0" xfId="0" applyFont="1"/>
    <xf numFmtId="164" fontId="6" fillId="0" borderId="0" xfId="0" applyNumberFormat="1" applyFont="1" applyAlignment="1">
      <alignment horizontal="center"/>
    </xf>
    <xf numFmtId="14" fontId="3" fillId="2" borderId="1" xfId="0" applyNumberFormat="1" applyFont="1" applyFill="1" applyBorder="1" applyAlignment="1">
      <alignment horizontal="center" vertical="center"/>
    </xf>
    <xf numFmtId="14" fontId="4" fillId="0" borderId="1" xfId="0" applyNumberFormat="1" applyFont="1" applyBorder="1"/>
    <xf numFmtId="14" fontId="0" fillId="0" borderId="0" xfId="0" applyNumberFormat="1"/>
    <xf numFmtId="0" fontId="0" fillId="0" borderId="0" xfId="0" applyNumberFormat="1"/>
  </cellXfs>
  <cellStyles count="1">
    <cellStyle name="Normal" xfId="0" builtinId="0"/>
  </cellStyles>
  <dxfs count="14">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19" formatCode="dd/mm/yyyy"/>
    </dxf>
    <dxf>
      <fill>
        <patternFill>
          <bgColor theme="5" tint="0.79998168889431442"/>
        </patternFill>
      </fill>
    </dxf>
    <dxf>
      <font>
        <color theme="3" tint="0.39994506668294322"/>
      </font>
    </dxf>
    <dxf>
      <font>
        <color theme="0" tint="-0.499984740745262"/>
      </font>
    </dxf>
    <dxf>
      <font>
        <b/>
        <i/>
        <color rgb="FFFF0000"/>
      </font>
    </dxf>
    <dxf>
      <font>
        <b/>
        <i val="0"/>
        <color rgb="FFFF0000"/>
      </font>
    </dxf>
    <dxf>
      <font>
        <b/>
        <color theme="1"/>
      </font>
      <border>
        <bottom style="thin">
          <color rgb="FF4F81BD"/>
        </bottom>
        <vertical/>
        <horizontal/>
      </border>
    </dxf>
    <dxf>
      <font>
        <color theme="1"/>
      </font>
      <fill>
        <patternFill>
          <bgColor theme="3" tint="0.39994506668294322"/>
        </patternFill>
      </fill>
      <border diagonalUp="0" diagonalDown="0">
        <left/>
        <right/>
        <top/>
        <bottom/>
        <vertical/>
        <horizontal/>
      </border>
    </dxf>
  </dxfs>
  <tableStyles count="1" defaultTableStyle="TableStyleMedium2" defaultPivotStyle="PivotStyleLight16">
    <tableStyle name="SlicerStyleOther2 2" pivot="0" table="0" count="10" xr9:uid="{FD0DCB89-2C58-4E2A-8097-9DDD970B1DF3}">
      <tableStyleElement type="wholeTable" dxfId="13"/>
      <tableStyleElement type="headerRow" dxfId="12"/>
    </tableStyle>
  </tableStyles>
  <extLst>
    <ext xmlns:x14="http://schemas.microsoft.com/office/spreadsheetml/2009/9/main" uri="{46F421CA-312F-682f-3DD2-61675219B42D}">
      <x14:dxfs count="8">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theme="3" tint="0.39994506668294322"/>
          </font>
          <fill>
            <patternFill patternType="solid">
              <fgColor auto="1"/>
              <bgColor theme="0"/>
            </patternFill>
          </fill>
          <border diagonalUp="0" diagonalDown="0">
            <left/>
            <right/>
            <top/>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theme="0"/>
          </font>
          <fill>
            <patternFill patternType="solid">
              <fgColor auto="1"/>
              <bgColor theme="3" tint="0.39994506668294322"/>
            </patternFill>
          </fill>
          <border>
            <left style="thin">
              <color theme="0"/>
            </left>
            <right style="thin">
              <color theme="0"/>
            </right>
            <top style="thin">
              <color theme="0"/>
            </top>
            <bottom style="thin">
              <color theme="0"/>
            </bottom>
            <vertical/>
            <horizontal/>
          </border>
        </dxf>
      </x14:dxfs>
    </ext>
    <ext xmlns:x14="http://schemas.microsoft.com/office/spreadsheetml/2009/9/main" uri="{EB79DEF2-80B8-43e5-95BD-54CBDDF9020C}">
      <x14:slicerStyles defaultSlicerStyle="SlicerStyleLight1">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[GROUP CAPSTONE PROJECT(1).xlsm]Analysis!PivotTable6</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1">
                <a:solidFill>
                  <a:schemeClr val="tx1"/>
                </a:solidFill>
              </a:rPr>
              <a:t>TOP</a:t>
            </a:r>
            <a:r>
              <a:rPr lang="en-US" sz="1000" b="1" baseline="0">
                <a:solidFill>
                  <a:schemeClr val="tx1"/>
                </a:solidFill>
              </a:rPr>
              <a:t> 5 PRODUCTS BY STOCK</a:t>
            </a:r>
            <a:endParaRPr lang="en-US" sz="1000" b="1">
              <a:solidFill>
                <a:schemeClr val="tx1"/>
              </a:solidFill>
            </a:endParaRPr>
          </a:p>
        </c:rich>
      </c:tx>
      <c:layout>
        <c:manualLayout>
          <c:xMode val="edge"/>
          <c:yMode val="edge"/>
          <c:x val="2.4849692450383345E-2"/>
          <c:y val="2.4689877022306957E-2"/>
        </c:manualLayout>
      </c:layout>
      <c:overlay val="0"/>
      <c:spPr>
        <a:solidFill>
          <a:sysClr val="window" lastClr="FFFFFF"/>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manualLayout>
          <c:layoutTarget val="inner"/>
          <c:xMode val="edge"/>
          <c:yMode val="edge"/>
          <c:x val="9.3723619120100687E-2"/>
          <c:y val="0.18545303315958744"/>
          <c:w val="0.44022802447091886"/>
          <c:h val="0.79342020627703225"/>
        </c:manualLayout>
      </c:layout>
      <c:doughnutChart>
        <c:varyColors val="1"/>
        <c:ser>
          <c:idx val="0"/>
          <c:order val="0"/>
          <c:tx>
            <c:strRef>
              <c:f>Analysis!$J$4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2C-402A-B064-EDF5EE2197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2C-402A-B064-EDF5EE2197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2C-402A-B064-EDF5EE21976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62C-402A-B064-EDF5EE21976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62C-402A-B064-EDF5EE21976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991-492A-8F52-58C3DE7C920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991-492A-8F52-58C3DE7C920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Analysis!$I$5:$I$12</c:f>
              <c:strCache>
                <c:ptCount val="7"/>
                <c:pt idx="0">
                  <c:v>Children's School Sandals</c:v>
                </c:pt>
                <c:pt idx="1">
                  <c:v>Cotton Ankle Socks (3-Pack)</c:v>
                </c:pt>
                <c:pt idx="2">
                  <c:v>Kente-Print Head Wrap</c:v>
                </c:pt>
                <c:pt idx="3">
                  <c:v>Ladies Ankara Print Dress</c:v>
                </c:pt>
                <c:pt idx="4">
                  <c:v>Ladies Handbag (Faux Leather)</c:v>
                </c:pt>
                <c:pt idx="5">
                  <c:v>Men's Polo T-Shirt (Cotton)</c:v>
                </c:pt>
                <c:pt idx="6">
                  <c:v>School Uniform Shirt (White)</c:v>
                </c:pt>
              </c:strCache>
            </c:strRef>
          </c:cat>
          <c:val>
            <c:numRef>
              <c:f>Analysis!$J$5:$J$12</c:f>
              <c:numCache>
                <c:formatCode>General</c:formatCode>
                <c:ptCount val="7"/>
                <c:pt idx="0">
                  <c:v>42</c:v>
                </c:pt>
                <c:pt idx="1">
                  <c:v>39</c:v>
                </c:pt>
                <c:pt idx="2">
                  <c:v>39</c:v>
                </c:pt>
                <c:pt idx="3">
                  <c:v>79</c:v>
                </c:pt>
                <c:pt idx="4">
                  <c:v>92</c:v>
                </c:pt>
                <c:pt idx="5">
                  <c:v>53</c:v>
                </c:pt>
                <c:pt idx="6">
                  <c:v>39</c:v>
                </c:pt>
              </c:numCache>
            </c:numRef>
          </c:val>
          <c:extLst>
            <c:ext xmlns:c16="http://schemas.microsoft.com/office/drawing/2014/chart" uri="{C3380CC4-5D6E-409C-BE32-E72D297353CC}">
              <c16:uniqueId val="{0000000A-462C-402A-B064-EDF5EE21976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5747429800259517"/>
          <c:y val="0.1696431795073671"/>
          <c:w val="0.4252570199740483"/>
          <c:h val="0.7643438064501852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[GROUP CAPSTONE PROJECT(1).xlsm]Analysis!PivotTable7</c:name>
    <c:fmtId val="18"/>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sz="1200"/>
              <a:t>TOTAL TRANSACTIONS BY BRANCH</a:t>
            </a:r>
          </a:p>
        </c:rich>
      </c:tx>
      <c:layout>
        <c:manualLayout>
          <c:xMode val="edge"/>
          <c:yMode val="edge"/>
          <c:x val="2.700366944423211E-2"/>
          <c:y val="2.57961071697720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Analysis!$M$4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Analysis!$L$5:$L$9</c:f>
              <c:strCache>
                <c:ptCount val="4"/>
                <c:pt idx="0">
                  <c:v>Adum</c:v>
                </c:pt>
                <c:pt idx="1">
                  <c:v>Asokwa</c:v>
                </c:pt>
                <c:pt idx="2">
                  <c:v>Bantama</c:v>
                </c:pt>
                <c:pt idx="3">
                  <c:v>Suame</c:v>
                </c:pt>
              </c:strCache>
            </c:strRef>
          </c:cat>
          <c:val>
            <c:numRef>
              <c:f>Analysis!$M$5:$M$9</c:f>
              <c:numCache>
                <c:formatCode>General</c:formatCode>
                <c:ptCount val="4"/>
                <c:pt idx="0">
                  <c:v>68</c:v>
                </c:pt>
                <c:pt idx="1">
                  <c:v>62</c:v>
                </c:pt>
                <c:pt idx="2">
                  <c:v>68</c:v>
                </c:pt>
                <c:pt idx="3">
                  <c:v>51</c:v>
                </c:pt>
              </c:numCache>
            </c:numRef>
          </c:val>
          <c:extLst>
            <c:ext xmlns:c16="http://schemas.microsoft.com/office/drawing/2014/chart" uri="{C3380CC4-5D6E-409C-BE32-E72D297353CC}">
              <c16:uniqueId val="{00000000-DAD1-43AC-84D9-FA0A0A0D86ED}"/>
            </c:ext>
          </c:extLst>
        </c:ser>
        <c:dLbls>
          <c:showLegendKey val="0"/>
          <c:showVal val="0"/>
          <c:showCatName val="0"/>
          <c:showSerName val="0"/>
          <c:showPercent val="0"/>
          <c:showBubbleSize val="0"/>
        </c:dLbls>
        <c:gapWidth val="219"/>
        <c:overlap val="-27"/>
        <c:axId val="236018480"/>
        <c:axId val="1890089696"/>
      </c:barChart>
      <c:catAx>
        <c:axId val="236018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890089696"/>
        <c:crosses val="autoZero"/>
        <c:auto val="1"/>
        <c:lblAlgn val="ctr"/>
        <c:lblOffset val="100"/>
        <c:noMultiLvlLbl val="0"/>
      </c:catAx>
      <c:valAx>
        <c:axId val="18900896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360184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no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title pos="t" align="ctr" overlay="0">
      <cx:tx>
        <cx:txData>
          <cx:v>INVENTORIES</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Calibri"/>
            </a:rPr>
            <a:t>INVENTORIES</a:t>
          </a:r>
        </a:p>
      </cx:txPr>
    </cx:title>
    <cx:plotArea>
      <cx:plotAreaRegion>
        <cx:series layoutId="waterfall" uniqueId="{00000000-97BA-49B8-BF32-B49E507D4AF7}">
          <cx:tx>
            <cx:txData>
              <cx:f>_xlchart.v5.1</cx:f>
              <cx:v>Sum of Quantity</cx:v>
            </cx:txData>
          </cx:tx>
          <cx:dataPt idx="0">
            <cx:spPr>
              <a:solidFill>
                <a:srgbClr val="1F497D">
                  <a:lumMod val="60000"/>
                  <a:lumOff val="40000"/>
                </a:srgbClr>
              </a:solidFill>
            </cx:spPr>
          </cx:dataPt>
          <cx:dataPt idx="1">
            <cx:spPr>
              <a:solidFill>
                <a:srgbClr val="1F497D">
                  <a:lumMod val="60000"/>
                  <a:lumOff val="40000"/>
                </a:srgbClr>
              </a:solidFill>
            </cx:spPr>
          </cx:dataPt>
          <cx:dataPt idx="2">
            <cx:spPr>
              <a:solidFill>
                <a:srgbClr val="C0504D"/>
              </a:solidFill>
            </cx:spPr>
          </cx:dataPt>
          <cx:dataPt idx="3">
            <cx:spPr>
              <a:solidFill>
                <a:sysClr val="window" lastClr="FFFFFF">
                  <a:lumMod val="75000"/>
                </a:sysClr>
              </a:solidFill>
            </cx:spPr>
          </cx:dataPt>
          <cx:dataLabels pos="outEnd">
            <cx:visibility seriesName="0" categoryName="0" value="1"/>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1000" b="1"/>
            </a:pPr>
            <a:endParaRPr lang="en-US" sz="1000" b="1" i="0" u="none" strike="noStrike" baseline="0">
              <a:solidFill>
                <a:sysClr val="windowText" lastClr="000000">
                  <a:lumMod val="65000"/>
                  <a:lumOff val="35000"/>
                </a:sysClr>
              </a:solidFill>
              <a:latin typeface="Calibri"/>
            </a:endParaRPr>
          </a:p>
        </cx:txPr>
      </cx:axis>
      <cx:axis id="1" hidden="1">
        <cx:valScaling/>
        <cx:tickLabels/>
      </cx:axis>
    </cx:plotArea>
    <cx:legend pos="r" align="ctr" overlay="0">
      <cx:txPr>
        <a:bodyPr spcFirstLastPara="1" vertOverflow="ellipsis" horzOverflow="overflow" wrap="square" lIns="0" tIns="0" rIns="0" bIns="0" anchor="ctr" anchorCtr="1"/>
        <a:lstStyle/>
        <a:p>
          <a:pPr algn="ctr" rtl="0">
            <a:defRPr sz="1000" b="1"/>
          </a:pPr>
          <a:endParaRPr lang="en-US" sz="1000" b="1" i="0" u="none" strike="noStrike" baseline="0">
            <a:solidFill>
              <a:sysClr val="windowText" lastClr="000000">
                <a:lumMod val="65000"/>
                <a:lumOff val="35000"/>
              </a:sysClr>
            </a:solidFill>
            <a:latin typeface="Calibri"/>
          </a:endParaRPr>
        </a:p>
      </cx:txPr>
    </cx:legend>
  </cx:chart>
  <cx:spPr>
    <a:solidFill>
      <a:schemeClr val="lt1"/>
    </a:solidFill>
    <a:ln w="25400" cap="flat" cmpd="sng" algn="ctr">
      <a:noFill/>
      <a:prstDash val="solid"/>
    </a:ln>
    <a:effectLst/>
  </cx:spPr>
  <cx:fmtOvrs>
    <cx:fmtOvr idx="2">
      <cx:spPr>
        <a:solidFill>
          <a:schemeClr val="bg1">
            <a:lumMod val="75000"/>
          </a:schemeClr>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3" Type="http://schemas.openxmlformats.org/officeDocument/2006/relationships/image" Target="../media/image3.svg"/><Relationship Id="rId7" Type="http://schemas.openxmlformats.org/officeDocument/2006/relationships/image" Target="../media/image6.png"/><Relationship Id="rId12" Type="http://schemas.openxmlformats.org/officeDocument/2006/relationships/image" Target="../media/image11.svg"/><Relationship Id="rId2" Type="http://schemas.openxmlformats.org/officeDocument/2006/relationships/image" Target="../media/image2.png"/><Relationship Id="rId16" Type="http://schemas.openxmlformats.org/officeDocument/2006/relationships/chart" Target="../charts/chart2.xml"/><Relationship Id="rId1" Type="http://schemas.openxmlformats.org/officeDocument/2006/relationships/image" Target="../media/image1.png"/><Relationship Id="rId6" Type="http://schemas.openxmlformats.org/officeDocument/2006/relationships/image" Target="../media/image5.svg"/><Relationship Id="rId11" Type="http://schemas.openxmlformats.org/officeDocument/2006/relationships/image" Target="../media/image10.png"/><Relationship Id="rId5" Type="http://schemas.openxmlformats.org/officeDocument/2006/relationships/image" Target="../media/image4.png"/><Relationship Id="rId15" Type="http://schemas.openxmlformats.org/officeDocument/2006/relationships/chart" Target="../charts/chart1.xml"/><Relationship Id="rId10" Type="http://schemas.openxmlformats.org/officeDocument/2006/relationships/image" Target="../media/image9.svg"/><Relationship Id="rId4" Type="http://schemas.microsoft.com/office/2014/relationships/chartEx" Target="../charts/chartEx1.xml"/><Relationship Id="rId9" Type="http://schemas.openxmlformats.org/officeDocument/2006/relationships/image" Target="../media/image8.png"/><Relationship Id="rId14" Type="http://schemas.openxmlformats.org/officeDocument/2006/relationships/image" Target="../media/image13.svg"/></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19050</xdr:rowOff>
    </xdr:from>
    <xdr:to>
      <xdr:col>15</xdr:col>
      <xdr:colOff>38100</xdr:colOff>
      <xdr:row>4</xdr:row>
      <xdr:rowOff>165100</xdr:rowOff>
    </xdr:to>
    <xdr:sp macro="" textlink="">
      <xdr:nvSpPr>
        <xdr:cNvPr id="2" name="Rectangle 1">
          <a:extLst>
            <a:ext uri="{FF2B5EF4-FFF2-40B4-BE49-F238E27FC236}">
              <a16:creationId xmlns:a16="http://schemas.microsoft.com/office/drawing/2014/main" id="{21FF760D-8302-44CB-A0F6-80F7C6D59EB3}"/>
            </a:ext>
          </a:extLst>
        </xdr:cNvPr>
        <xdr:cNvSpPr/>
      </xdr:nvSpPr>
      <xdr:spPr>
        <a:xfrm>
          <a:off x="152400" y="19050"/>
          <a:ext cx="10642600" cy="882650"/>
        </a:xfrm>
        <a:prstGeom prst="rect">
          <a:avLst/>
        </a:prstGeom>
        <a:solidFill>
          <a:schemeClr val="tx2">
            <a:lumMod val="60000"/>
            <a:lumOff val="40000"/>
          </a:schemeClr>
        </a:solidFill>
        <a:ln>
          <a:solidFill>
            <a:schemeClr val="tx2">
              <a:lumMod val="60000"/>
              <a:lumOff val="4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2400" b="1">
              <a:solidFill>
                <a:schemeClr val="bg1"/>
              </a:solidFill>
              <a:latin typeface="Franklin Gothic Book" panose="020B0503020102020204" pitchFamily="34" charset="0"/>
            </a:rPr>
            <a:t>         </a:t>
          </a:r>
          <a:r>
            <a:rPr lang="en-US" sz="2800" b="1">
              <a:solidFill>
                <a:schemeClr val="bg1"/>
              </a:solidFill>
              <a:latin typeface="Franklin Gothic Book" panose="020B0503020102020204" pitchFamily="34" charset="0"/>
            </a:rPr>
            <a:t>CONTINENTAL SHOP</a:t>
          </a:r>
          <a:r>
            <a:rPr lang="en-US" sz="2400" b="1" baseline="0">
              <a:solidFill>
                <a:schemeClr val="bg1"/>
              </a:solidFill>
              <a:latin typeface="Franklin Gothic Book" panose="020B0503020102020204" pitchFamily="34" charset="0"/>
            </a:rPr>
            <a:t> </a:t>
          </a:r>
          <a:r>
            <a:rPr lang="en-US" sz="2800" b="1">
              <a:solidFill>
                <a:schemeClr val="bg1"/>
              </a:solidFill>
              <a:latin typeface="Franklin Gothic Book" panose="020B0503020102020204" pitchFamily="34" charset="0"/>
            </a:rPr>
            <a:t>INVENTORY</a:t>
          </a:r>
        </a:p>
        <a:p>
          <a:pPr algn="l"/>
          <a:r>
            <a:rPr lang="en-US" sz="1000" b="1">
              <a:solidFill>
                <a:schemeClr val="bg1"/>
              </a:solidFill>
              <a:latin typeface="Franklin Gothic Book" panose="020B0503020102020204" pitchFamily="34" charset="0"/>
            </a:rPr>
            <a:t>                                                                    </a:t>
          </a:r>
          <a:endParaRPr lang="en-US" sz="1000" b="1" baseline="0">
            <a:solidFill>
              <a:schemeClr val="bg1"/>
            </a:solidFill>
            <a:latin typeface="Franklin Gothic Book" panose="020B0503020102020204" pitchFamily="34" charset="0"/>
          </a:endParaRPr>
        </a:p>
      </xdr:txBody>
    </xdr:sp>
    <xdr:clientData/>
  </xdr:twoCellAnchor>
  <xdr:twoCellAnchor editAs="oneCell">
    <xdr:from>
      <xdr:col>0</xdr:col>
      <xdr:colOff>241300</xdr:colOff>
      <xdr:row>0</xdr:row>
      <xdr:rowOff>127000</xdr:rowOff>
    </xdr:from>
    <xdr:to>
      <xdr:col>1</xdr:col>
      <xdr:colOff>234950</xdr:colOff>
      <xdr:row>4</xdr:row>
      <xdr:rowOff>31750</xdr:rowOff>
    </xdr:to>
    <xdr:pic>
      <xdr:nvPicPr>
        <xdr:cNvPr id="9" name="Picture 8">
          <a:extLst>
            <a:ext uri="{FF2B5EF4-FFF2-40B4-BE49-F238E27FC236}">
              <a16:creationId xmlns:a16="http://schemas.microsoft.com/office/drawing/2014/main" id="{3439212D-504C-00BB-D6C6-3D423E6F1B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1300" y="127000"/>
          <a:ext cx="603250" cy="641350"/>
        </a:xfrm>
        <a:prstGeom prst="rect">
          <a:avLst/>
        </a:prstGeom>
      </xdr:spPr>
    </xdr:pic>
    <xdr:clientData/>
  </xdr:twoCellAnchor>
  <xdr:twoCellAnchor editAs="oneCell">
    <xdr:from>
      <xdr:col>8</xdr:col>
      <xdr:colOff>457200</xdr:colOff>
      <xdr:row>1</xdr:row>
      <xdr:rowOff>165100</xdr:rowOff>
    </xdr:from>
    <xdr:to>
      <xdr:col>9</xdr:col>
      <xdr:colOff>425450</xdr:colOff>
      <xdr:row>4</xdr:row>
      <xdr:rowOff>127000</xdr:rowOff>
    </xdr:to>
    <xdr:pic macro="[0]!refresh">
      <xdr:nvPicPr>
        <xdr:cNvPr id="49" name="Graphic 48" descr="Arrow circle with solid fill">
          <a:extLst>
            <a:ext uri="{FF2B5EF4-FFF2-40B4-BE49-F238E27FC236}">
              <a16:creationId xmlns:a16="http://schemas.microsoft.com/office/drawing/2014/main" id="{CF882173-840B-0176-5403-186BFE11C17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334000" y="349250"/>
          <a:ext cx="577850" cy="514350"/>
        </a:xfrm>
        <a:prstGeom prst="rect">
          <a:avLst/>
        </a:prstGeom>
      </xdr:spPr>
    </xdr:pic>
    <xdr:clientData/>
  </xdr:twoCellAnchor>
  <xdr:twoCellAnchor>
    <xdr:from>
      <xdr:col>0</xdr:col>
      <xdr:colOff>124278</xdr:colOff>
      <xdr:row>5</xdr:row>
      <xdr:rowOff>21771</xdr:rowOff>
    </xdr:from>
    <xdr:to>
      <xdr:col>8</xdr:col>
      <xdr:colOff>302078</xdr:colOff>
      <xdr:row>15</xdr:row>
      <xdr:rowOff>53521</xdr:rowOff>
    </xdr:to>
    <mc:AlternateContent xmlns:mc="http://schemas.openxmlformats.org/markup-compatibility/2006">
      <mc:Choice xmlns:cx4="http://schemas.microsoft.com/office/drawing/2016/5/10/chartex" Requires="cx4">
        <xdr:graphicFrame macro="">
          <xdr:nvGraphicFramePr>
            <xdr:cNvPr id="66" name="Chart 65">
              <a:extLst>
                <a:ext uri="{FF2B5EF4-FFF2-40B4-BE49-F238E27FC236}">
                  <a16:creationId xmlns:a16="http://schemas.microsoft.com/office/drawing/2014/main" id="{32124122-C403-4828-AC03-99FE9AFE39A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278" y="974271"/>
              <a:ext cx="5054600" cy="19462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xdr:col>
      <xdr:colOff>273050</xdr:colOff>
      <xdr:row>2</xdr:row>
      <xdr:rowOff>31750</xdr:rowOff>
    </xdr:from>
    <xdr:to>
      <xdr:col>8</xdr:col>
      <xdr:colOff>450850</xdr:colOff>
      <xdr:row>4</xdr:row>
      <xdr:rowOff>82550</xdr:rowOff>
    </xdr:to>
    <mc:AlternateContent xmlns:mc="http://schemas.openxmlformats.org/markup-compatibility/2006" xmlns:a14="http://schemas.microsoft.com/office/drawing/2010/main">
      <mc:Choice Requires="a14">
        <xdr:graphicFrame macro="">
          <xdr:nvGraphicFramePr>
            <xdr:cNvPr id="67" name="Branch">
              <a:extLst>
                <a:ext uri="{FF2B5EF4-FFF2-40B4-BE49-F238E27FC236}">
                  <a16:creationId xmlns:a16="http://schemas.microsoft.com/office/drawing/2014/main" id="{FCAFCE6E-D7F5-4DE5-B6EB-4EA6CFB2E33A}"/>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882650" y="400050"/>
              <a:ext cx="4445000" cy="419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347700</xdr:colOff>
      <xdr:row>0</xdr:row>
      <xdr:rowOff>107950</xdr:rowOff>
    </xdr:from>
    <xdr:to>
      <xdr:col>14</xdr:col>
      <xdr:colOff>144500</xdr:colOff>
      <xdr:row>3</xdr:row>
      <xdr:rowOff>107950</xdr:rowOff>
    </xdr:to>
    <xdr:pic macro="[0]!Module1.General_View">
      <xdr:nvPicPr>
        <xdr:cNvPr id="68" name="Graphic 67" descr="Database with solid fill">
          <a:extLst>
            <a:ext uri="{FF2B5EF4-FFF2-40B4-BE49-F238E27FC236}">
              <a16:creationId xmlns:a16="http://schemas.microsoft.com/office/drawing/2014/main" id="{E2072B35-22E6-49AD-9B7A-27C28F71286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9948900" y="107950"/>
          <a:ext cx="749300" cy="552450"/>
        </a:xfrm>
        <a:prstGeom prst="rect">
          <a:avLst/>
        </a:prstGeom>
        <a:effectLst>
          <a:outerShdw blurRad="50800" dist="38100" dir="2700000" algn="tl" rotWithShape="0">
            <a:prstClr val="black">
              <a:alpha val="40000"/>
            </a:prstClr>
          </a:outerShdw>
        </a:effectLst>
      </xdr:spPr>
    </xdr:pic>
    <xdr:clientData/>
  </xdr:twoCellAnchor>
  <xdr:twoCellAnchor>
    <xdr:from>
      <xdr:col>10</xdr:col>
      <xdr:colOff>684250</xdr:colOff>
      <xdr:row>3</xdr:row>
      <xdr:rowOff>50800</xdr:rowOff>
    </xdr:from>
    <xdr:to>
      <xdr:col>10</xdr:col>
      <xdr:colOff>1281150</xdr:colOff>
      <xdr:row>4</xdr:row>
      <xdr:rowOff>31750</xdr:rowOff>
    </xdr:to>
    <xdr:sp macro="" textlink="">
      <xdr:nvSpPr>
        <xdr:cNvPr id="69" name="TextBox 68">
          <a:extLst>
            <a:ext uri="{FF2B5EF4-FFF2-40B4-BE49-F238E27FC236}">
              <a16:creationId xmlns:a16="http://schemas.microsoft.com/office/drawing/2014/main" id="{EC6A6FF4-743A-40B4-87F8-3179B4D44426}"/>
            </a:ext>
          </a:extLst>
        </xdr:cNvPr>
        <xdr:cNvSpPr txBox="1"/>
      </xdr:nvSpPr>
      <xdr:spPr>
        <a:xfrm>
          <a:off x="6888200" y="603250"/>
          <a:ext cx="596900" cy="165100"/>
        </a:xfrm>
        <a:prstGeom prst="rect">
          <a:avLst/>
        </a:prstGeom>
        <a:solidFill>
          <a:schemeClr val="tx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i="1">
              <a:solidFill>
                <a:schemeClr val="bg1"/>
              </a:solidFill>
            </a:rPr>
            <a:t>STOCK</a:t>
          </a:r>
          <a:r>
            <a:rPr lang="en-US" sz="800" i="1" baseline="0">
              <a:solidFill>
                <a:schemeClr val="bg1"/>
              </a:solidFill>
            </a:rPr>
            <a:t> IN</a:t>
          </a:r>
          <a:endParaRPr lang="en-US" sz="800" i="1">
            <a:solidFill>
              <a:schemeClr val="bg1"/>
            </a:solidFill>
          </a:endParaRPr>
        </a:p>
      </xdr:txBody>
    </xdr:sp>
    <xdr:clientData/>
  </xdr:twoCellAnchor>
  <xdr:twoCellAnchor>
    <xdr:from>
      <xdr:col>10</xdr:col>
      <xdr:colOff>1420850</xdr:colOff>
      <xdr:row>3</xdr:row>
      <xdr:rowOff>50801</xdr:rowOff>
    </xdr:from>
    <xdr:to>
      <xdr:col>10</xdr:col>
      <xdr:colOff>2095500</xdr:colOff>
      <xdr:row>4</xdr:row>
      <xdr:rowOff>14111</xdr:rowOff>
    </xdr:to>
    <xdr:sp macro="" textlink="">
      <xdr:nvSpPr>
        <xdr:cNvPr id="70" name="TextBox 69">
          <a:extLst>
            <a:ext uri="{FF2B5EF4-FFF2-40B4-BE49-F238E27FC236}">
              <a16:creationId xmlns:a16="http://schemas.microsoft.com/office/drawing/2014/main" id="{5B1D5249-D29E-4365-84CA-066CAAB4FB42}"/>
            </a:ext>
          </a:extLst>
        </xdr:cNvPr>
        <xdr:cNvSpPr txBox="1"/>
      </xdr:nvSpPr>
      <xdr:spPr>
        <a:xfrm>
          <a:off x="7601517" y="601134"/>
          <a:ext cx="674650" cy="146755"/>
        </a:xfrm>
        <a:prstGeom prst="rect">
          <a:avLst/>
        </a:prstGeom>
        <a:solidFill>
          <a:schemeClr val="tx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i="1">
              <a:solidFill>
                <a:schemeClr val="bg1"/>
              </a:solidFill>
            </a:rPr>
            <a:t>STOCK OUT</a:t>
          </a:r>
        </a:p>
      </xdr:txBody>
    </xdr:sp>
    <xdr:clientData/>
  </xdr:twoCellAnchor>
  <xdr:twoCellAnchor>
    <xdr:from>
      <xdr:col>10</xdr:col>
      <xdr:colOff>2067277</xdr:colOff>
      <xdr:row>3</xdr:row>
      <xdr:rowOff>63500</xdr:rowOff>
    </xdr:from>
    <xdr:to>
      <xdr:col>12</xdr:col>
      <xdr:colOff>88761</xdr:colOff>
      <xdr:row>4</xdr:row>
      <xdr:rowOff>162278</xdr:rowOff>
    </xdr:to>
    <xdr:sp macro="" textlink="">
      <xdr:nvSpPr>
        <xdr:cNvPr id="71" name="TextBox 70">
          <a:extLst>
            <a:ext uri="{FF2B5EF4-FFF2-40B4-BE49-F238E27FC236}">
              <a16:creationId xmlns:a16="http://schemas.microsoft.com/office/drawing/2014/main" id="{6AD46993-D1B0-4932-8B2F-4434B6D606F4}"/>
            </a:ext>
          </a:extLst>
        </xdr:cNvPr>
        <xdr:cNvSpPr txBox="1"/>
      </xdr:nvSpPr>
      <xdr:spPr>
        <a:xfrm>
          <a:off x="8247944" y="613833"/>
          <a:ext cx="1020095" cy="282223"/>
        </a:xfrm>
        <a:prstGeom prst="rect">
          <a:avLst/>
        </a:prstGeom>
        <a:solidFill>
          <a:schemeClr val="tx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i="1">
              <a:solidFill>
                <a:schemeClr val="bg1"/>
              </a:solidFill>
            </a:rPr>
            <a:t>OPENING STOCK</a:t>
          </a:r>
        </a:p>
      </xdr:txBody>
    </xdr:sp>
    <xdr:clientData/>
  </xdr:twoCellAnchor>
  <xdr:twoCellAnchor>
    <xdr:from>
      <xdr:col>11</xdr:col>
      <xdr:colOff>601700</xdr:colOff>
      <xdr:row>3</xdr:row>
      <xdr:rowOff>63500</xdr:rowOff>
    </xdr:from>
    <xdr:to>
      <xdr:col>13</xdr:col>
      <xdr:colOff>344714</xdr:colOff>
      <xdr:row>4</xdr:row>
      <xdr:rowOff>63500</xdr:rowOff>
    </xdr:to>
    <xdr:sp macro="" textlink="">
      <xdr:nvSpPr>
        <xdr:cNvPr id="72" name="TextBox 71">
          <a:extLst>
            <a:ext uri="{FF2B5EF4-FFF2-40B4-BE49-F238E27FC236}">
              <a16:creationId xmlns:a16="http://schemas.microsoft.com/office/drawing/2014/main" id="{76674D8D-1C66-4994-B482-81083D924F48}"/>
            </a:ext>
          </a:extLst>
        </xdr:cNvPr>
        <xdr:cNvSpPr txBox="1"/>
      </xdr:nvSpPr>
      <xdr:spPr>
        <a:xfrm>
          <a:off x="9183271" y="607786"/>
          <a:ext cx="740872" cy="181428"/>
        </a:xfrm>
        <a:prstGeom prst="rect">
          <a:avLst/>
        </a:prstGeom>
        <a:solidFill>
          <a:schemeClr val="tx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i="1">
              <a:solidFill>
                <a:schemeClr val="bg1"/>
              </a:solidFill>
            </a:rPr>
            <a:t>CATALOGUE</a:t>
          </a:r>
        </a:p>
      </xdr:txBody>
    </xdr:sp>
    <xdr:clientData/>
  </xdr:twoCellAnchor>
  <xdr:twoCellAnchor>
    <xdr:from>
      <xdr:col>13</xdr:col>
      <xdr:colOff>297605</xdr:colOff>
      <xdr:row>3</xdr:row>
      <xdr:rowOff>83961</xdr:rowOff>
    </xdr:from>
    <xdr:to>
      <xdr:col>14</xdr:col>
      <xdr:colOff>145205</xdr:colOff>
      <xdr:row>4</xdr:row>
      <xdr:rowOff>122061</xdr:rowOff>
    </xdr:to>
    <xdr:sp macro="" textlink="">
      <xdr:nvSpPr>
        <xdr:cNvPr id="73" name="TextBox 72">
          <a:extLst>
            <a:ext uri="{FF2B5EF4-FFF2-40B4-BE49-F238E27FC236}">
              <a16:creationId xmlns:a16="http://schemas.microsoft.com/office/drawing/2014/main" id="{802EDFE3-BAA2-4B53-9DA1-F6F6AF767676}"/>
            </a:ext>
          </a:extLst>
        </xdr:cNvPr>
        <xdr:cNvSpPr txBox="1"/>
      </xdr:nvSpPr>
      <xdr:spPr>
        <a:xfrm>
          <a:off x="9871994" y="634294"/>
          <a:ext cx="800100" cy="221545"/>
        </a:xfrm>
        <a:prstGeom prst="rect">
          <a:avLst/>
        </a:prstGeom>
        <a:solidFill>
          <a:schemeClr val="tx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i="1">
              <a:solidFill>
                <a:schemeClr val="bg1"/>
              </a:solidFill>
            </a:rPr>
            <a:t>ALL</a:t>
          </a:r>
          <a:r>
            <a:rPr lang="en-US" sz="800" i="1" baseline="0">
              <a:solidFill>
                <a:schemeClr val="bg1"/>
              </a:solidFill>
            </a:rPr>
            <a:t> STOCK</a:t>
          </a:r>
          <a:endParaRPr lang="en-US" sz="800" i="1">
            <a:solidFill>
              <a:schemeClr val="bg1"/>
            </a:solidFill>
          </a:endParaRPr>
        </a:p>
      </xdr:txBody>
    </xdr:sp>
    <xdr:clientData/>
  </xdr:twoCellAnchor>
  <xdr:twoCellAnchor editAs="oneCell">
    <xdr:from>
      <xdr:col>10</xdr:col>
      <xdr:colOff>1374000</xdr:colOff>
      <xdr:row>0</xdr:row>
      <xdr:rowOff>82550</xdr:rowOff>
    </xdr:from>
    <xdr:to>
      <xdr:col>10</xdr:col>
      <xdr:colOff>2189200</xdr:colOff>
      <xdr:row>3</xdr:row>
      <xdr:rowOff>133350</xdr:rowOff>
    </xdr:to>
    <xdr:pic macro="[0]!Outputs">
      <xdr:nvPicPr>
        <xdr:cNvPr id="74" name="Graphic 73" descr="Bar graph with downward trend with solid fill">
          <a:extLst>
            <a:ext uri="{FF2B5EF4-FFF2-40B4-BE49-F238E27FC236}">
              <a16:creationId xmlns:a16="http://schemas.microsoft.com/office/drawing/2014/main" id="{B7A0A529-68D9-42BC-AA9A-DF577A000AC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577950" y="82550"/>
          <a:ext cx="815200" cy="603250"/>
        </a:xfrm>
        <a:prstGeom prst="rect">
          <a:avLst/>
        </a:prstGeom>
        <a:effectLst>
          <a:outerShdw blurRad="50800" dist="38100" dir="2700000" algn="tl" rotWithShape="0">
            <a:prstClr val="black">
              <a:alpha val="40000"/>
            </a:prstClr>
          </a:outerShdw>
        </a:effectLst>
      </xdr:spPr>
    </xdr:pic>
    <xdr:clientData/>
  </xdr:twoCellAnchor>
  <xdr:twoCellAnchor editAs="oneCell">
    <xdr:from>
      <xdr:col>10</xdr:col>
      <xdr:colOff>539750</xdr:colOff>
      <xdr:row>0</xdr:row>
      <xdr:rowOff>127000</xdr:rowOff>
    </xdr:from>
    <xdr:to>
      <xdr:col>10</xdr:col>
      <xdr:colOff>1395450</xdr:colOff>
      <xdr:row>3</xdr:row>
      <xdr:rowOff>139699</xdr:rowOff>
    </xdr:to>
    <xdr:pic macro="[0]!Inputs">
      <xdr:nvPicPr>
        <xdr:cNvPr id="75" name="Graphic 74" descr="Bar graph with upward trend with solid fill">
          <a:extLst>
            <a:ext uri="{FF2B5EF4-FFF2-40B4-BE49-F238E27FC236}">
              <a16:creationId xmlns:a16="http://schemas.microsoft.com/office/drawing/2014/main" id="{4F6F62EB-055B-48DA-AF10-8EE6CB029A2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743700" y="127000"/>
          <a:ext cx="855700" cy="565149"/>
        </a:xfrm>
        <a:prstGeom prst="rect">
          <a:avLst/>
        </a:prstGeom>
        <a:effectLst>
          <a:outerShdw blurRad="50800" dist="38100" dir="2700000" algn="tl" rotWithShape="0">
            <a:prstClr val="black">
              <a:alpha val="40000"/>
            </a:prstClr>
          </a:outerShdw>
        </a:effectLst>
      </xdr:spPr>
    </xdr:pic>
    <xdr:clientData/>
  </xdr:twoCellAnchor>
  <xdr:twoCellAnchor editAs="oneCell">
    <xdr:from>
      <xdr:col>11</xdr:col>
      <xdr:colOff>589000</xdr:colOff>
      <xdr:row>0</xdr:row>
      <xdr:rowOff>127000</xdr:rowOff>
    </xdr:from>
    <xdr:to>
      <xdr:col>13</xdr:col>
      <xdr:colOff>303250</xdr:colOff>
      <xdr:row>3</xdr:row>
      <xdr:rowOff>82550</xdr:rowOff>
    </xdr:to>
    <xdr:pic macro="[0]!Module1.Catalogs_View">
      <xdr:nvPicPr>
        <xdr:cNvPr id="76" name="Graphic 75" descr="Books with solid fill">
          <a:extLst>
            <a:ext uri="{FF2B5EF4-FFF2-40B4-BE49-F238E27FC236}">
              <a16:creationId xmlns:a16="http://schemas.microsoft.com/office/drawing/2014/main" id="{E4A0BFEB-5321-49C9-B30E-A0BD0A37D47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86900" y="127000"/>
          <a:ext cx="717550" cy="508000"/>
        </a:xfrm>
        <a:prstGeom prst="rect">
          <a:avLst/>
        </a:prstGeom>
        <a:effectLst>
          <a:outerShdw blurRad="50800" dist="38100" dir="2700000" algn="tl" rotWithShape="0">
            <a:prstClr val="black">
              <a:alpha val="40000"/>
            </a:prstClr>
          </a:outerShdw>
        </a:effectLst>
      </xdr:spPr>
    </xdr:pic>
    <xdr:clientData/>
  </xdr:twoCellAnchor>
  <xdr:twoCellAnchor editAs="oneCell">
    <xdr:from>
      <xdr:col>10</xdr:col>
      <xdr:colOff>2237600</xdr:colOff>
      <xdr:row>0</xdr:row>
      <xdr:rowOff>31750</xdr:rowOff>
    </xdr:from>
    <xdr:to>
      <xdr:col>11</xdr:col>
      <xdr:colOff>500100</xdr:colOff>
      <xdr:row>3</xdr:row>
      <xdr:rowOff>120650</xdr:rowOff>
    </xdr:to>
    <xdr:pic macro="[0]!Module1.OpeningStock_View">
      <xdr:nvPicPr>
        <xdr:cNvPr id="77" name="Graphic 76" descr="Bank with solid fill">
          <a:extLst>
            <a:ext uri="{FF2B5EF4-FFF2-40B4-BE49-F238E27FC236}">
              <a16:creationId xmlns:a16="http://schemas.microsoft.com/office/drawing/2014/main" id="{B9F587EE-C110-4B63-94AC-CD40A9824D8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441550" y="31750"/>
          <a:ext cx="656450" cy="641350"/>
        </a:xfrm>
        <a:prstGeom prst="rect">
          <a:avLst/>
        </a:prstGeom>
        <a:effectLst>
          <a:outerShdw blurRad="50800" dist="38100" dir="2700000" algn="tl" rotWithShape="0">
            <a:prstClr val="black">
              <a:alpha val="40000"/>
            </a:prstClr>
          </a:outerShdw>
        </a:effectLst>
      </xdr:spPr>
    </xdr:pic>
    <xdr:clientData/>
  </xdr:twoCellAnchor>
  <xdr:twoCellAnchor>
    <xdr:from>
      <xdr:col>4</xdr:col>
      <xdr:colOff>199572</xdr:colOff>
      <xdr:row>15</xdr:row>
      <xdr:rowOff>133350</xdr:rowOff>
    </xdr:from>
    <xdr:to>
      <xdr:col>8</xdr:col>
      <xdr:colOff>476251</xdr:colOff>
      <xdr:row>25</xdr:row>
      <xdr:rowOff>36286</xdr:rowOff>
    </xdr:to>
    <xdr:graphicFrame macro="">
      <xdr:nvGraphicFramePr>
        <xdr:cNvPr id="78" name="Chart 77">
          <a:extLst>
            <a:ext uri="{FF2B5EF4-FFF2-40B4-BE49-F238E27FC236}">
              <a16:creationId xmlns:a16="http://schemas.microsoft.com/office/drawing/2014/main" id="{DD2ED284-77EF-40F6-BA7E-A3ECD7613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107950</xdr:colOff>
      <xdr:row>15</xdr:row>
      <xdr:rowOff>127000</xdr:rowOff>
    </xdr:from>
    <xdr:to>
      <xdr:col>4</xdr:col>
      <xdr:colOff>215900</xdr:colOff>
      <xdr:row>24</xdr:row>
      <xdr:rowOff>6350</xdr:rowOff>
    </xdr:to>
    <xdr:graphicFrame macro="">
      <xdr:nvGraphicFramePr>
        <xdr:cNvPr id="79" name="Chart 78">
          <a:extLst>
            <a:ext uri="{FF2B5EF4-FFF2-40B4-BE49-F238E27FC236}">
              <a16:creationId xmlns:a16="http://schemas.microsoft.com/office/drawing/2014/main" id="{DB47E7D7-F5AF-4762-AE52-25302F3548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warteng philip" refreshedDate="46228.856789120371" createdVersion="8" refreshedVersion="8" minRefreshableVersion="3" recordCount="249" xr:uid="{53254A4C-B887-4D2A-8140-E705643E6BA1}">
  <cacheSource type="worksheet">
    <worksheetSource name="tblOpening_1"/>
  </cacheSource>
  <cacheFields count="6">
    <cacheField name="Date" numFmtId="14">
      <sharedItems containsSemiMixedTypes="0" containsNonDate="0" containsDate="1" containsString="0" minDate="2025-01-01T00:00:00" maxDate="2026-07-30T00:00:00"/>
    </cacheField>
    <cacheField name="Branch" numFmtId="0">
      <sharedItems count="4">
        <s v="Adum"/>
        <s v="Asokwa"/>
        <s v="Bantama"/>
        <s v="Suame"/>
      </sharedItems>
    </cacheField>
    <cacheField name="Code" numFmtId="0">
      <sharedItems count="15">
        <s v="GH-008"/>
        <s v="GH-014"/>
        <s v="GH-009"/>
        <s v="GH-010"/>
        <s v="GH-012"/>
        <s v="GH-002"/>
        <s v="GH-011"/>
        <s v="GH-013"/>
        <s v="GH-006"/>
        <s v="GH-001"/>
        <s v="GH-003"/>
        <s v="GH-004"/>
        <s v="GH-007"/>
        <s v="GH-005"/>
        <s v="GH-015"/>
      </sharedItems>
    </cacheField>
    <cacheField name="Product" numFmtId="0">
      <sharedItems count="15">
        <s v="Ahenema Leather Sandals"/>
        <s v="Baby Romper Set"/>
        <s v="Children's School Sandals"/>
        <s v="Cotton Ankle Socks (3-Pack)"/>
        <s v="Kente-Print Head Wrap"/>
        <s v="Ladies Ankara Print Dress"/>
        <s v="Ladies Handbag (Faux Leather)"/>
        <s v="Men's Cargo Shorts"/>
        <s v="Men's Formal Long-Sleeve Shirt"/>
        <s v="Men's Polo T-Shirt (Cotton)"/>
        <s v="Men's Slim Fit Jeans"/>
        <s v="School Uniform Shirt (White)"/>
        <s v="Sports Sneakers (Running)"/>
        <s v="Waterproof Rain Jacket"/>
        <s v="Wool Blend Cardigan Sweater"/>
      </sharedItems>
    </cacheField>
    <cacheField name="Quantity" numFmtId="0">
      <sharedItems containsSemiMixedTypes="0" containsString="0" containsNumber="1" containsInteger="1" minValue="-100" maxValue="100"/>
    </cacheField>
    <cacheField name="Type" numFmtId="0">
      <sharedItems count="3">
        <s v="Opening Stock"/>
        <s v="Stock Out"/>
        <s v="Stock In"/>
      </sharedItems>
    </cacheField>
  </cacheFields>
  <extLst>
    <ext xmlns:x14="http://schemas.microsoft.com/office/spreadsheetml/2009/9/main" uri="{725AE2AE-9491-48be-B2B4-4EB974FC3084}">
      <x14:pivotCacheDefinition pivotCacheId="18230168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
  <r>
    <d v="2025-01-01T00:00:00"/>
    <x v="0"/>
    <x v="0"/>
    <x v="0"/>
    <n v="14"/>
    <x v="0"/>
  </r>
  <r>
    <d v="2025-01-01T00:00:00"/>
    <x v="0"/>
    <x v="1"/>
    <x v="1"/>
    <n v="29"/>
    <x v="0"/>
  </r>
  <r>
    <d v="2025-01-01T00:00:00"/>
    <x v="0"/>
    <x v="2"/>
    <x v="2"/>
    <n v="42"/>
    <x v="0"/>
  </r>
  <r>
    <d v="2025-01-01T00:00:00"/>
    <x v="0"/>
    <x v="3"/>
    <x v="3"/>
    <n v="13"/>
    <x v="0"/>
  </r>
  <r>
    <d v="2025-01-01T00:00:00"/>
    <x v="0"/>
    <x v="4"/>
    <x v="4"/>
    <n v="35"/>
    <x v="0"/>
  </r>
  <r>
    <d v="2025-01-01T00:00:00"/>
    <x v="0"/>
    <x v="5"/>
    <x v="5"/>
    <n v="15"/>
    <x v="0"/>
  </r>
  <r>
    <d v="2025-01-01T00:00:00"/>
    <x v="0"/>
    <x v="6"/>
    <x v="6"/>
    <n v="45"/>
    <x v="0"/>
  </r>
  <r>
    <d v="2025-01-01T00:00:00"/>
    <x v="0"/>
    <x v="7"/>
    <x v="7"/>
    <n v="10"/>
    <x v="0"/>
  </r>
  <r>
    <d v="2025-01-01T00:00:00"/>
    <x v="0"/>
    <x v="8"/>
    <x v="8"/>
    <n v="22"/>
    <x v="0"/>
  </r>
  <r>
    <d v="2025-01-01T00:00:00"/>
    <x v="0"/>
    <x v="9"/>
    <x v="9"/>
    <n v="48"/>
    <x v="0"/>
  </r>
  <r>
    <d v="2025-01-01T00:00:00"/>
    <x v="0"/>
    <x v="10"/>
    <x v="10"/>
    <n v="9"/>
    <x v="0"/>
  </r>
  <r>
    <d v="2025-01-01T00:00:00"/>
    <x v="0"/>
    <x v="11"/>
    <x v="11"/>
    <n v="25"/>
    <x v="0"/>
  </r>
  <r>
    <d v="2025-01-01T00:00:00"/>
    <x v="0"/>
    <x v="12"/>
    <x v="12"/>
    <n v="16"/>
    <x v="0"/>
  </r>
  <r>
    <d v="2025-01-01T00:00:00"/>
    <x v="0"/>
    <x v="13"/>
    <x v="13"/>
    <n v="23"/>
    <x v="0"/>
  </r>
  <r>
    <d v="2025-01-01T00:00:00"/>
    <x v="0"/>
    <x v="14"/>
    <x v="14"/>
    <n v="13"/>
    <x v="0"/>
  </r>
  <r>
    <d v="2025-01-01T00:00:00"/>
    <x v="1"/>
    <x v="0"/>
    <x v="0"/>
    <n v="14"/>
    <x v="0"/>
  </r>
  <r>
    <d v="2025-01-01T00:00:00"/>
    <x v="1"/>
    <x v="1"/>
    <x v="1"/>
    <n v="46"/>
    <x v="0"/>
  </r>
  <r>
    <d v="2025-01-01T00:00:00"/>
    <x v="1"/>
    <x v="2"/>
    <x v="2"/>
    <n v="13"/>
    <x v="0"/>
  </r>
  <r>
    <d v="2025-01-01T00:00:00"/>
    <x v="1"/>
    <x v="3"/>
    <x v="3"/>
    <n v="32"/>
    <x v="0"/>
  </r>
  <r>
    <d v="2025-01-01T00:00:00"/>
    <x v="1"/>
    <x v="4"/>
    <x v="4"/>
    <n v="30"/>
    <x v="0"/>
  </r>
  <r>
    <d v="2025-01-01T00:00:00"/>
    <x v="1"/>
    <x v="5"/>
    <x v="5"/>
    <n v="35"/>
    <x v="0"/>
  </r>
  <r>
    <d v="2025-01-01T00:00:00"/>
    <x v="1"/>
    <x v="6"/>
    <x v="6"/>
    <n v="47"/>
    <x v="0"/>
  </r>
  <r>
    <d v="2025-01-01T00:00:00"/>
    <x v="1"/>
    <x v="7"/>
    <x v="7"/>
    <n v="55"/>
    <x v="0"/>
  </r>
  <r>
    <d v="2025-01-01T00:00:00"/>
    <x v="1"/>
    <x v="8"/>
    <x v="8"/>
    <n v="21"/>
    <x v="0"/>
  </r>
  <r>
    <d v="2025-01-01T00:00:00"/>
    <x v="1"/>
    <x v="9"/>
    <x v="9"/>
    <n v="18"/>
    <x v="0"/>
  </r>
  <r>
    <d v="2025-01-01T00:00:00"/>
    <x v="1"/>
    <x v="10"/>
    <x v="10"/>
    <n v="29"/>
    <x v="0"/>
  </r>
  <r>
    <d v="2025-01-01T00:00:00"/>
    <x v="1"/>
    <x v="11"/>
    <x v="11"/>
    <n v="25"/>
    <x v="0"/>
  </r>
  <r>
    <d v="2025-01-01T00:00:00"/>
    <x v="1"/>
    <x v="12"/>
    <x v="12"/>
    <n v="39"/>
    <x v="0"/>
  </r>
  <r>
    <d v="2025-01-01T00:00:00"/>
    <x v="1"/>
    <x v="13"/>
    <x v="13"/>
    <n v="17"/>
    <x v="0"/>
  </r>
  <r>
    <d v="2025-01-01T00:00:00"/>
    <x v="1"/>
    <x v="14"/>
    <x v="14"/>
    <n v="24"/>
    <x v="0"/>
  </r>
  <r>
    <d v="2025-01-01T00:00:00"/>
    <x v="2"/>
    <x v="0"/>
    <x v="0"/>
    <n v="49"/>
    <x v="0"/>
  </r>
  <r>
    <d v="2025-01-01T00:00:00"/>
    <x v="2"/>
    <x v="1"/>
    <x v="1"/>
    <n v="25"/>
    <x v="0"/>
  </r>
  <r>
    <d v="2025-01-01T00:00:00"/>
    <x v="2"/>
    <x v="2"/>
    <x v="2"/>
    <n v="42"/>
    <x v="0"/>
  </r>
  <r>
    <d v="2025-01-01T00:00:00"/>
    <x v="2"/>
    <x v="3"/>
    <x v="3"/>
    <n v="34"/>
    <x v="0"/>
  </r>
  <r>
    <d v="2025-01-01T00:00:00"/>
    <x v="2"/>
    <x v="4"/>
    <x v="4"/>
    <n v="47"/>
    <x v="0"/>
  </r>
  <r>
    <d v="2025-01-01T00:00:00"/>
    <x v="2"/>
    <x v="5"/>
    <x v="5"/>
    <n v="22"/>
    <x v="0"/>
  </r>
  <r>
    <d v="2025-01-01T00:00:00"/>
    <x v="2"/>
    <x v="6"/>
    <x v="6"/>
    <n v="22"/>
    <x v="0"/>
  </r>
  <r>
    <d v="2025-01-01T00:00:00"/>
    <x v="2"/>
    <x v="7"/>
    <x v="7"/>
    <n v="45"/>
    <x v="0"/>
  </r>
  <r>
    <d v="2025-01-01T00:00:00"/>
    <x v="2"/>
    <x v="8"/>
    <x v="8"/>
    <n v="43"/>
    <x v="0"/>
  </r>
  <r>
    <d v="2025-01-01T00:00:00"/>
    <x v="2"/>
    <x v="9"/>
    <x v="9"/>
    <n v="21"/>
    <x v="0"/>
  </r>
  <r>
    <d v="2025-01-01T00:00:00"/>
    <x v="2"/>
    <x v="10"/>
    <x v="10"/>
    <n v="40"/>
    <x v="0"/>
  </r>
  <r>
    <d v="2025-01-01T00:00:00"/>
    <x v="2"/>
    <x v="11"/>
    <x v="11"/>
    <n v="46"/>
    <x v="0"/>
  </r>
  <r>
    <d v="2025-01-01T00:00:00"/>
    <x v="2"/>
    <x v="12"/>
    <x v="12"/>
    <n v="20"/>
    <x v="0"/>
  </r>
  <r>
    <d v="2025-01-01T00:00:00"/>
    <x v="2"/>
    <x v="13"/>
    <x v="13"/>
    <n v="9"/>
    <x v="0"/>
  </r>
  <r>
    <d v="2025-01-01T00:00:00"/>
    <x v="2"/>
    <x v="14"/>
    <x v="14"/>
    <n v="23"/>
    <x v="0"/>
  </r>
  <r>
    <d v="2025-01-01T00:00:00"/>
    <x v="3"/>
    <x v="0"/>
    <x v="0"/>
    <n v="26"/>
    <x v="0"/>
  </r>
  <r>
    <d v="2025-01-01T00:00:00"/>
    <x v="3"/>
    <x v="1"/>
    <x v="1"/>
    <n v="12"/>
    <x v="0"/>
  </r>
  <r>
    <d v="2025-01-01T00:00:00"/>
    <x v="3"/>
    <x v="2"/>
    <x v="2"/>
    <n v="48"/>
    <x v="0"/>
  </r>
  <r>
    <d v="2025-01-01T00:00:00"/>
    <x v="3"/>
    <x v="3"/>
    <x v="3"/>
    <n v="47"/>
    <x v="0"/>
  </r>
  <r>
    <d v="2025-01-01T00:00:00"/>
    <x v="3"/>
    <x v="4"/>
    <x v="4"/>
    <n v="44"/>
    <x v="0"/>
  </r>
  <r>
    <d v="2025-01-01T00:00:00"/>
    <x v="3"/>
    <x v="5"/>
    <x v="5"/>
    <n v="37"/>
    <x v="0"/>
  </r>
  <r>
    <d v="2025-01-01T00:00:00"/>
    <x v="3"/>
    <x v="6"/>
    <x v="6"/>
    <n v="31"/>
    <x v="0"/>
  </r>
  <r>
    <d v="2025-01-01T00:00:00"/>
    <x v="3"/>
    <x v="7"/>
    <x v="7"/>
    <n v="20"/>
    <x v="0"/>
  </r>
  <r>
    <d v="2025-01-01T00:00:00"/>
    <x v="3"/>
    <x v="8"/>
    <x v="8"/>
    <n v="13"/>
    <x v="0"/>
  </r>
  <r>
    <d v="2025-01-01T00:00:00"/>
    <x v="3"/>
    <x v="9"/>
    <x v="9"/>
    <n v="12"/>
    <x v="0"/>
  </r>
  <r>
    <d v="2025-01-01T00:00:00"/>
    <x v="3"/>
    <x v="10"/>
    <x v="10"/>
    <n v="42"/>
    <x v="0"/>
  </r>
  <r>
    <d v="2025-01-01T00:00:00"/>
    <x v="3"/>
    <x v="11"/>
    <x v="11"/>
    <n v="15"/>
    <x v="0"/>
  </r>
  <r>
    <d v="2025-01-01T00:00:00"/>
    <x v="3"/>
    <x v="12"/>
    <x v="12"/>
    <n v="60"/>
    <x v="0"/>
  </r>
  <r>
    <d v="2025-01-01T00:00:00"/>
    <x v="3"/>
    <x v="13"/>
    <x v="13"/>
    <n v="32"/>
    <x v="0"/>
  </r>
  <r>
    <d v="2025-01-01T00:00:00"/>
    <x v="3"/>
    <x v="14"/>
    <x v="14"/>
    <n v="10"/>
    <x v="0"/>
  </r>
  <r>
    <d v="2025-01-01T00:00:00"/>
    <x v="1"/>
    <x v="9"/>
    <x v="9"/>
    <n v="-14"/>
    <x v="1"/>
  </r>
  <r>
    <d v="2025-01-01T00:00:00"/>
    <x v="1"/>
    <x v="12"/>
    <x v="12"/>
    <n v="-18"/>
    <x v="1"/>
  </r>
  <r>
    <d v="2025-01-04T00:00:00"/>
    <x v="2"/>
    <x v="3"/>
    <x v="3"/>
    <n v="8"/>
    <x v="2"/>
  </r>
  <r>
    <d v="2025-01-08T00:00:00"/>
    <x v="0"/>
    <x v="6"/>
    <x v="6"/>
    <n v="18"/>
    <x v="2"/>
  </r>
  <r>
    <d v="2025-01-13T00:00:00"/>
    <x v="2"/>
    <x v="14"/>
    <x v="14"/>
    <n v="-14"/>
    <x v="1"/>
  </r>
  <r>
    <d v="2025-01-20T00:00:00"/>
    <x v="2"/>
    <x v="3"/>
    <x v="3"/>
    <n v="-9"/>
    <x v="1"/>
  </r>
  <r>
    <d v="2025-01-21T00:00:00"/>
    <x v="2"/>
    <x v="3"/>
    <x v="3"/>
    <n v="20"/>
    <x v="2"/>
  </r>
  <r>
    <d v="2025-01-22T00:00:00"/>
    <x v="2"/>
    <x v="12"/>
    <x v="12"/>
    <n v="5"/>
    <x v="2"/>
  </r>
  <r>
    <d v="2025-01-22T00:00:00"/>
    <x v="0"/>
    <x v="7"/>
    <x v="7"/>
    <n v="-19"/>
    <x v="1"/>
  </r>
  <r>
    <d v="2025-01-25T00:00:00"/>
    <x v="3"/>
    <x v="5"/>
    <x v="5"/>
    <n v="25"/>
    <x v="2"/>
  </r>
  <r>
    <d v="2025-01-27T00:00:00"/>
    <x v="0"/>
    <x v="4"/>
    <x v="4"/>
    <n v="-18"/>
    <x v="1"/>
  </r>
  <r>
    <d v="2025-01-28T00:00:00"/>
    <x v="3"/>
    <x v="1"/>
    <x v="1"/>
    <n v="24"/>
    <x v="2"/>
  </r>
  <r>
    <d v="2025-01-29T00:00:00"/>
    <x v="2"/>
    <x v="6"/>
    <x v="6"/>
    <n v="11"/>
    <x v="2"/>
  </r>
  <r>
    <d v="2025-01-30T00:00:00"/>
    <x v="0"/>
    <x v="4"/>
    <x v="4"/>
    <n v="11"/>
    <x v="2"/>
  </r>
  <r>
    <d v="2025-01-31T00:00:00"/>
    <x v="2"/>
    <x v="1"/>
    <x v="1"/>
    <n v="13"/>
    <x v="2"/>
  </r>
  <r>
    <d v="2025-01-31T00:00:00"/>
    <x v="0"/>
    <x v="4"/>
    <x v="4"/>
    <n v="21"/>
    <x v="2"/>
  </r>
  <r>
    <d v="2025-02-02T00:00:00"/>
    <x v="0"/>
    <x v="11"/>
    <x v="11"/>
    <n v="8"/>
    <x v="2"/>
  </r>
  <r>
    <d v="2025-02-02T00:00:00"/>
    <x v="2"/>
    <x v="4"/>
    <x v="4"/>
    <n v="-7"/>
    <x v="1"/>
  </r>
  <r>
    <d v="2025-02-04T00:00:00"/>
    <x v="2"/>
    <x v="5"/>
    <x v="5"/>
    <n v="20"/>
    <x v="2"/>
  </r>
  <r>
    <d v="2025-02-05T00:00:00"/>
    <x v="1"/>
    <x v="10"/>
    <x v="10"/>
    <n v="12"/>
    <x v="2"/>
  </r>
  <r>
    <d v="2025-02-05T00:00:00"/>
    <x v="2"/>
    <x v="8"/>
    <x v="8"/>
    <n v="-14"/>
    <x v="1"/>
  </r>
  <r>
    <d v="2025-02-07T00:00:00"/>
    <x v="3"/>
    <x v="8"/>
    <x v="8"/>
    <n v="25"/>
    <x v="2"/>
  </r>
  <r>
    <d v="2025-02-08T00:00:00"/>
    <x v="1"/>
    <x v="0"/>
    <x v="0"/>
    <n v="8"/>
    <x v="2"/>
  </r>
  <r>
    <d v="2025-02-08T00:00:00"/>
    <x v="3"/>
    <x v="12"/>
    <x v="12"/>
    <n v="-7"/>
    <x v="1"/>
  </r>
  <r>
    <d v="2025-02-09T00:00:00"/>
    <x v="2"/>
    <x v="13"/>
    <x v="13"/>
    <n v="-15"/>
    <x v="1"/>
  </r>
  <r>
    <d v="2025-02-10T00:00:00"/>
    <x v="2"/>
    <x v="7"/>
    <x v="7"/>
    <n v="10"/>
    <x v="2"/>
  </r>
  <r>
    <d v="2025-02-11T00:00:00"/>
    <x v="2"/>
    <x v="9"/>
    <x v="9"/>
    <n v="17"/>
    <x v="2"/>
  </r>
  <r>
    <d v="2025-02-11T00:00:00"/>
    <x v="1"/>
    <x v="14"/>
    <x v="14"/>
    <n v="-18"/>
    <x v="1"/>
  </r>
  <r>
    <d v="2025-02-14T00:00:00"/>
    <x v="1"/>
    <x v="1"/>
    <x v="1"/>
    <n v="-8"/>
    <x v="1"/>
  </r>
  <r>
    <d v="2025-02-20T00:00:00"/>
    <x v="3"/>
    <x v="7"/>
    <x v="7"/>
    <n v="18"/>
    <x v="2"/>
  </r>
  <r>
    <d v="2025-03-04T00:00:00"/>
    <x v="0"/>
    <x v="2"/>
    <x v="2"/>
    <n v="-8"/>
    <x v="1"/>
  </r>
  <r>
    <d v="2025-03-06T00:00:00"/>
    <x v="0"/>
    <x v="7"/>
    <x v="7"/>
    <n v="18"/>
    <x v="2"/>
  </r>
  <r>
    <d v="2025-03-09T00:00:00"/>
    <x v="3"/>
    <x v="11"/>
    <x v="11"/>
    <n v="18"/>
    <x v="2"/>
  </r>
  <r>
    <d v="2025-03-11T00:00:00"/>
    <x v="0"/>
    <x v="5"/>
    <x v="5"/>
    <n v="-14"/>
    <x v="1"/>
  </r>
  <r>
    <d v="2025-03-12T00:00:00"/>
    <x v="3"/>
    <x v="8"/>
    <x v="8"/>
    <n v="8"/>
    <x v="2"/>
  </r>
  <r>
    <d v="2025-03-17T00:00:00"/>
    <x v="1"/>
    <x v="11"/>
    <x v="11"/>
    <n v="-7"/>
    <x v="1"/>
  </r>
  <r>
    <d v="2025-03-22T00:00:00"/>
    <x v="2"/>
    <x v="8"/>
    <x v="8"/>
    <n v="10"/>
    <x v="2"/>
  </r>
  <r>
    <d v="2025-03-23T00:00:00"/>
    <x v="0"/>
    <x v="10"/>
    <x v="10"/>
    <n v="21"/>
    <x v="2"/>
  </r>
  <r>
    <d v="2025-03-24T00:00:00"/>
    <x v="2"/>
    <x v="10"/>
    <x v="10"/>
    <n v="12"/>
    <x v="2"/>
  </r>
  <r>
    <d v="2025-03-24T00:00:00"/>
    <x v="2"/>
    <x v="6"/>
    <x v="6"/>
    <n v="9"/>
    <x v="2"/>
  </r>
  <r>
    <d v="2025-03-25T00:00:00"/>
    <x v="2"/>
    <x v="14"/>
    <x v="14"/>
    <n v="-8"/>
    <x v="1"/>
  </r>
  <r>
    <d v="2025-03-26T00:00:00"/>
    <x v="1"/>
    <x v="6"/>
    <x v="6"/>
    <n v="-13"/>
    <x v="1"/>
  </r>
  <r>
    <d v="2025-03-27T00:00:00"/>
    <x v="1"/>
    <x v="7"/>
    <x v="7"/>
    <n v="-12"/>
    <x v="1"/>
  </r>
  <r>
    <d v="2025-03-28T00:00:00"/>
    <x v="2"/>
    <x v="2"/>
    <x v="2"/>
    <n v="-16"/>
    <x v="1"/>
  </r>
  <r>
    <d v="2025-03-29T00:00:00"/>
    <x v="0"/>
    <x v="3"/>
    <x v="3"/>
    <n v="21"/>
    <x v="2"/>
  </r>
  <r>
    <d v="2025-04-04T00:00:00"/>
    <x v="3"/>
    <x v="10"/>
    <x v="10"/>
    <n v="14"/>
    <x v="2"/>
  </r>
  <r>
    <d v="2025-04-08T00:00:00"/>
    <x v="0"/>
    <x v="11"/>
    <x v="11"/>
    <n v="7"/>
    <x v="2"/>
  </r>
  <r>
    <d v="2025-04-08T00:00:00"/>
    <x v="0"/>
    <x v="12"/>
    <x v="12"/>
    <n v="-19"/>
    <x v="1"/>
  </r>
  <r>
    <d v="2025-04-15T00:00:00"/>
    <x v="2"/>
    <x v="4"/>
    <x v="4"/>
    <n v="11"/>
    <x v="2"/>
  </r>
  <r>
    <d v="2025-04-15T00:00:00"/>
    <x v="1"/>
    <x v="14"/>
    <x v="14"/>
    <n v="9"/>
    <x v="2"/>
  </r>
  <r>
    <d v="2025-04-16T00:00:00"/>
    <x v="3"/>
    <x v="12"/>
    <x v="12"/>
    <n v="-2"/>
    <x v="1"/>
  </r>
  <r>
    <d v="2025-04-18T00:00:00"/>
    <x v="2"/>
    <x v="8"/>
    <x v="8"/>
    <n v="12"/>
    <x v="2"/>
  </r>
  <r>
    <d v="2025-04-19T00:00:00"/>
    <x v="3"/>
    <x v="13"/>
    <x v="13"/>
    <n v="3"/>
    <x v="2"/>
  </r>
  <r>
    <d v="2025-04-20T00:00:00"/>
    <x v="0"/>
    <x v="5"/>
    <x v="5"/>
    <n v="18"/>
    <x v="2"/>
  </r>
  <r>
    <d v="2025-04-25T00:00:00"/>
    <x v="1"/>
    <x v="1"/>
    <x v="1"/>
    <n v="-8"/>
    <x v="1"/>
  </r>
  <r>
    <d v="2025-05-02T00:00:00"/>
    <x v="0"/>
    <x v="14"/>
    <x v="14"/>
    <n v="25"/>
    <x v="2"/>
  </r>
  <r>
    <d v="2025-05-05T00:00:00"/>
    <x v="1"/>
    <x v="14"/>
    <x v="14"/>
    <n v="-15"/>
    <x v="1"/>
  </r>
  <r>
    <d v="2025-05-07T00:00:00"/>
    <x v="2"/>
    <x v="13"/>
    <x v="13"/>
    <n v="5"/>
    <x v="2"/>
  </r>
  <r>
    <d v="2025-05-07T00:00:00"/>
    <x v="0"/>
    <x v="7"/>
    <x v="7"/>
    <n v="-1"/>
    <x v="1"/>
  </r>
  <r>
    <d v="2025-05-09T00:00:00"/>
    <x v="1"/>
    <x v="2"/>
    <x v="2"/>
    <n v="16"/>
    <x v="2"/>
  </r>
  <r>
    <d v="2025-05-14T00:00:00"/>
    <x v="1"/>
    <x v="9"/>
    <x v="9"/>
    <n v="-4"/>
    <x v="1"/>
  </r>
  <r>
    <d v="2025-05-14T00:00:00"/>
    <x v="3"/>
    <x v="10"/>
    <x v="10"/>
    <n v="-2"/>
    <x v="1"/>
  </r>
  <r>
    <d v="2025-05-15T00:00:00"/>
    <x v="2"/>
    <x v="0"/>
    <x v="0"/>
    <n v="1"/>
    <x v="2"/>
  </r>
  <r>
    <d v="2025-05-16T00:00:00"/>
    <x v="0"/>
    <x v="14"/>
    <x v="14"/>
    <n v="5"/>
    <x v="2"/>
  </r>
  <r>
    <d v="2025-05-17T00:00:00"/>
    <x v="0"/>
    <x v="6"/>
    <x v="6"/>
    <n v="18"/>
    <x v="2"/>
  </r>
  <r>
    <d v="2025-05-18T00:00:00"/>
    <x v="3"/>
    <x v="12"/>
    <x v="12"/>
    <n v="-19"/>
    <x v="1"/>
  </r>
  <r>
    <d v="2025-05-20T00:00:00"/>
    <x v="2"/>
    <x v="0"/>
    <x v="0"/>
    <n v="-8"/>
    <x v="1"/>
  </r>
  <r>
    <d v="2025-05-23T00:00:00"/>
    <x v="0"/>
    <x v="2"/>
    <x v="2"/>
    <n v="8"/>
    <x v="2"/>
  </r>
  <r>
    <d v="2025-05-23T00:00:00"/>
    <x v="1"/>
    <x v="8"/>
    <x v="8"/>
    <n v="-13"/>
    <x v="1"/>
  </r>
  <r>
    <d v="2025-05-23T00:00:00"/>
    <x v="1"/>
    <x v="13"/>
    <x v="13"/>
    <n v="-3"/>
    <x v="1"/>
  </r>
  <r>
    <d v="2025-05-27T00:00:00"/>
    <x v="1"/>
    <x v="14"/>
    <x v="14"/>
    <n v="15"/>
    <x v="2"/>
  </r>
  <r>
    <d v="2025-06-01T00:00:00"/>
    <x v="3"/>
    <x v="10"/>
    <x v="10"/>
    <n v="7"/>
    <x v="2"/>
  </r>
  <r>
    <d v="2025-06-02T00:00:00"/>
    <x v="3"/>
    <x v="9"/>
    <x v="9"/>
    <n v="-12"/>
    <x v="1"/>
  </r>
  <r>
    <d v="2025-06-03T00:00:00"/>
    <x v="0"/>
    <x v="6"/>
    <x v="6"/>
    <n v="18"/>
    <x v="2"/>
  </r>
  <r>
    <d v="2025-06-03T00:00:00"/>
    <x v="2"/>
    <x v="6"/>
    <x v="6"/>
    <n v="21"/>
    <x v="2"/>
  </r>
  <r>
    <d v="2025-06-07T00:00:00"/>
    <x v="0"/>
    <x v="5"/>
    <x v="5"/>
    <n v="12"/>
    <x v="2"/>
  </r>
  <r>
    <d v="2025-06-09T00:00:00"/>
    <x v="0"/>
    <x v="3"/>
    <x v="3"/>
    <n v="-1"/>
    <x v="1"/>
  </r>
  <r>
    <d v="2025-06-09T00:00:00"/>
    <x v="0"/>
    <x v="7"/>
    <x v="7"/>
    <n v="-6"/>
    <x v="1"/>
  </r>
  <r>
    <d v="2025-06-11T00:00:00"/>
    <x v="2"/>
    <x v="1"/>
    <x v="1"/>
    <n v="2"/>
    <x v="2"/>
  </r>
  <r>
    <d v="2025-06-17T00:00:00"/>
    <x v="1"/>
    <x v="6"/>
    <x v="6"/>
    <n v="-14"/>
    <x v="1"/>
  </r>
  <r>
    <d v="2025-06-19T00:00:00"/>
    <x v="2"/>
    <x v="5"/>
    <x v="5"/>
    <n v="2"/>
    <x v="2"/>
  </r>
  <r>
    <d v="2025-06-20T00:00:00"/>
    <x v="1"/>
    <x v="9"/>
    <x v="9"/>
    <n v="1"/>
    <x v="2"/>
  </r>
  <r>
    <d v="2025-06-21T00:00:00"/>
    <x v="1"/>
    <x v="11"/>
    <x v="11"/>
    <n v="-9"/>
    <x v="1"/>
  </r>
  <r>
    <d v="2025-06-23T00:00:00"/>
    <x v="0"/>
    <x v="9"/>
    <x v="9"/>
    <n v="13"/>
    <x v="2"/>
  </r>
  <r>
    <d v="2025-06-26T00:00:00"/>
    <x v="0"/>
    <x v="3"/>
    <x v="3"/>
    <n v="-14"/>
    <x v="1"/>
  </r>
  <r>
    <d v="2025-06-29T00:00:00"/>
    <x v="2"/>
    <x v="11"/>
    <x v="11"/>
    <n v="-15"/>
    <x v="1"/>
  </r>
  <r>
    <d v="2025-07-03T00:00:00"/>
    <x v="1"/>
    <x v="8"/>
    <x v="8"/>
    <n v="2"/>
    <x v="2"/>
  </r>
  <r>
    <d v="2025-07-06T00:00:00"/>
    <x v="1"/>
    <x v="0"/>
    <x v="0"/>
    <n v="21"/>
    <x v="2"/>
  </r>
  <r>
    <d v="2025-07-09T00:00:00"/>
    <x v="2"/>
    <x v="2"/>
    <x v="2"/>
    <n v="2"/>
    <x v="2"/>
  </r>
  <r>
    <d v="2025-07-14T00:00:00"/>
    <x v="2"/>
    <x v="1"/>
    <x v="1"/>
    <n v="4"/>
    <x v="2"/>
  </r>
  <r>
    <d v="2025-07-14T00:00:00"/>
    <x v="2"/>
    <x v="10"/>
    <x v="10"/>
    <n v="15"/>
    <x v="2"/>
  </r>
  <r>
    <d v="2025-07-14T00:00:00"/>
    <x v="0"/>
    <x v="1"/>
    <x v="1"/>
    <n v="-19"/>
    <x v="1"/>
  </r>
  <r>
    <d v="2025-07-16T00:00:00"/>
    <x v="2"/>
    <x v="10"/>
    <x v="10"/>
    <n v="-8"/>
    <x v="1"/>
  </r>
  <r>
    <d v="2025-07-17T00:00:00"/>
    <x v="3"/>
    <x v="3"/>
    <x v="3"/>
    <n v="3"/>
    <x v="2"/>
  </r>
  <r>
    <d v="2025-07-19T00:00:00"/>
    <x v="2"/>
    <x v="12"/>
    <x v="12"/>
    <n v="1"/>
    <x v="2"/>
  </r>
  <r>
    <d v="2025-07-19T00:00:00"/>
    <x v="3"/>
    <x v="0"/>
    <x v="0"/>
    <n v="-1"/>
    <x v="1"/>
  </r>
  <r>
    <d v="2025-07-22T00:00:00"/>
    <x v="1"/>
    <x v="11"/>
    <x v="11"/>
    <n v="9"/>
    <x v="2"/>
  </r>
  <r>
    <d v="2025-07-24T00:00:00"/>
    <x v="2"/>
    <x v="4"/>
    <x v="4"/>
    <n v="10"/>
    <x v="2"/>
  </r>
  <r>
    <d v="2025-07-24T00:00:00"/>
    <x v="0"/>
    <x v="6"/>
    <x v="6"/>
    <n v="-7"/>
    <x v="1"/>
  </r>
  <r>
    <d v="2025-07-24T00:00:00"/>
    <x v="1"/>
    <x v="6"/>
    <x v="6"/>
    <n v="-17"/>
    <x v="1"/>
  </r>
  <r>
    <d v="2025-07-28T00:00:00"/>
    <x v="3"/>
    <x v="11"/>
    <x v="11"/>
    <n v="16"/>
    <x v="2"/>
  </r>
  <r>
    <d v="2025-07-28T00:00:00"/>
    <x v="0"/>
    <x v="8"/>
    <x v="8"/>
    <n v="-18"/>
    <x v="1"/>
  </r>
  <r>
    <d v="2025-07-30T00:00:00"/>
    <x v="3"/>
    <x v="8"/>
    <x v="8"/>
    <n v="14"/>
    <x v="2"/>
  </r>
  <r>
    <d v="2025-07-30T00:00:00"/>
    <x v="2"/>
    <x v="4"/>
    <x v="4"/>
    <n v="-11"/>
    <x v="1"/>
  </r>
  <r>
    <d v="2025-08-05T00:00:00"/>
    <x v="0"/>
    <x v="5"/>
    <x v="5"/>
    <n v="21"/>
    <x v="2"/>
  </r>
  <r>
    <d v="2025-08-06T00:00:00"/>
    <x v="0"/>
    <x v="14"/>
    <x v="14"/>
    <n v="-4"/>
    <x v="1"/>
  </r>
  <r>
    <d v="2025-08-07T00:00:00"/>
    <x v="3"/>
    <x v="2"/>
    <x v="2"/>
    <n v="23"/>
    <x v="2"/>
  </r>
  <r>
    <d v="2025-08-08T00:00:00"/>
    <x v="1"/>
    <x v="4"/>
    <x v="4"/>
    <n v="19"/>
    <x v="2"/>
  </r>
  <r>
    <d v="2025-08-09T00:00:00"/>
    <x v="1"/>
    <x v="13"/>
    <x v="13"/>
    <n v="-7"/>
    <x v="1"/>
  </r>
  <r>
    <d v="2025-08-11T00:00:00"/>
    <x v="1"/>
    <x v="5"/>
    <x v="5"/>
    <n v="10"/>
    <x v="2"/>
  </r>
  <r>
    <d v="2025-08-11T00:00:00"/>
    <x v="3"/>
    <x v="4"/>
    <x v="4"/>
    <n v="-5"/>
    <x v="1"/>
  </r>
  <r>
    <d v="2025-08-15T00:00:00"/>
    <x v="1"/>
    <x v="0"/>
    <x v="0"/>
    <n v="-15"/>
    <x v="1"/>
  </r>
  <r>
    <d v="2025-08-17T00:00:00"/>
    <x v="3"/>
    <x v="1"/>
    <x v="1"/>
    <n v="-18"/>
    <x v="1"/>
  </r>
  <r>
    <d v="2025-08-19T00:00:00"/>
    <x v="2"/>
    <x v="4"/>
    <x v="4"/>
    <n v="-16"/>
    <x v="1"/>
  </r>
  <r>
    <d v="2025-08-20T00:00:00"/>
    <x v="1"/>
    <x v="0"/>
    <x v="0"/>
    <n v="17"/>
    <x v="2"/>
  </r>
  <r>
    <d v="2025-08-21T00:00:00"/>
    <x v="3"/>
    <x v="8"/>
    <x v="8"/>
    <n v="-7"/>
    <x v="1"/>
  </r>
  <r>
    <d v="2025-08-23T00:00:00"/>
    <x v="3"/>
    <x v="14"/>
    <x v="14"/>
    <n v="21"/>
    <x v="2"/>
  </r>
  <r>
    <d v="2025-08-26T00:00:00"/>
    <x v="2"/>
    <x v="10"/>
    <x v="10"/>
    <n v="-17"/>
    <x v="1"/>
  </r>
  <r>
    <d v="2025-08-27T00:00:00"/>
    <x v="0"/>
    <x v="3"/>
    <x v="3"/>
    <n v="-7"/>
    <x v="1"/>
  </r>
  <r>
    <d v="2025-08-29T00:00:00"/>
    <x v="0"/>
    <x v="12"/>
    <x v="12"/>
    <n v="-2"/>
    <x v="1"/>
  </r>
  <r>
    <d v="2025-08-29T00:00:00"/>
    <x v="3"/>
    <x v="13"/>
    <x v="13"/>
    <n v="-3"/>
    <x v="1"/>
  </r>
  <r>
    <d v="2025-08-31T00:00:00"/>
    <x v="2"/>
    <x v="11"/>
    <x v="11"/>
    <n v="-5"/>
    <x v="1"/>
  </r>
  <r>
    <d v="2025-09-01T00:00:00"/>
    <x v="0"/>
    <x v="9"/>
    <x v="9"/>
    <n v="-8"/>
    <x v="1"/>
  </r>
  <r>
    <d v="2025-09-04T00:00:00"/>
    <x v="2"/>
    <x v="12"/>
    <x v="12"/>
    <n v="16"/>
    <x v="2"/>
  </r>
  <r>
    <d v="2025-09-05T00:00:00"/>
    <x v="1"/>
    <x v="3"/>
    <x v="3"/>
    <n v="-18"/>
    <x v="1"/>
  </r>
  <r>
    <d v="2025-09-06T00:00:00"/>
    <x v="0"/>
    <x v="5"/>
    <x v="5"/>
    <n v="24"/>
    <x v="2"/>
  </r>
  <r>
    <d v="2025-09-06T00:00:00"/>
    <x v="1"/>
    <x v="7"/>
    <x v="7"/>
    <n v="-17"/>
    <x v="1"/>
  </r>
  <r>
    <d v="2025-09-08T00:00:00"/>
    <x v="0"/>
    <x v="3"/>
    <x v="3"/>
    <n v="11"/>
    <x v="2"/>
  </r>
  <r>
    <d v="2025-09-08T00:00:00"/>
    <x v="1"/>
    <x v="9"/>
    <x v="9"/>
    <n v="-14"/>
    <x v="1"/>
  </r>
  <r>
    <d v="2025-09-11T00:00:00"/>
    <x v="2"/>
    <x v="4"/>
    <x v="4"/>
    <n v="-13"/>
    <x v="1"/>
  </r>
  <r>
    <d v="2025-09-13T00:00:00"/>
    <x v="1"/>
    <x v="11"/>
    <x v="11"/>
    <n v="21"/>
    <x v="2"/>
  </r>
  <r>
    <d v="2025-09-15T00:00:00"/>
    <x v="0"/>
    <x v="3"/>
    <x v="3"/>
    <n v="16"/>
    <x v="2"/>
  </r>
  <r>
    <d v="2025-09-17T00:00:00"/>
    <x v="1"/>
    <x v="1"/>
    <x v="1"/>
    <n v="21"/>
    <x v="2"/>
  </r>
  <r>
    <d v="2025-09-17T00:00:00"/>
    <x v="0"/>
    <x v="4"/>
    <x v="4"/>
    <n v="-10"/>
    <x v="1"/>
  </r>
  <r>
    <d v="2025-09-19T00:00:00"/>
    <x v="1"/>
    <x v="12"/>
    <x v="12"/>
    <n v="-20"/>
    <x v="1"/>
  </r>
  <r>
    <d v="2025-09-28T00:00:00"/>
    <x v="3"/>
    <x v="3"/>
    <x v="3"/>
    <n v="15"/>
    <x v="2"/>
  </r>
  <r>
    <d v="2025-09-28T00:00:00"/>
    <x v="1"/>
    <x v="3"/>
    <x v="3"/>
    <n v="21"/>
    <x v="2"/>
  </r>
  <r>
    <d v="2025-10-03T00:00:00"/>
    <x v="3"/>
    <x v="1"/>
    <x v="1"/>
    <n v="-14"/>
    <x v="1"/>
  </r>
  <r>
    <d v="2025-10-05T00:00:00"/>
    <x v="2"/>
    <x v="9"/>
    <x v="9"/>
    <n v="19"/>
    <x v="2"/>
  </r>
  <r>
    <d v="2025-10-05T00:00:00"/>
    <x v="3"/>
    <x v="12"/>
    <x v="12"/>
    <n v="-11"/>
    <x v="1"/>
  </r>
  <r>
    <d v="2025-10-09T00:00:00"/>
    <x v="2"/>
    <x v="6"/>
    <x v="6"/>
    <n v="16"/>
    <x v="2"/>
  </r>
  <r>
    <d v="2025-10-11T00:00:00"/>
    <x v="1"/>
    <x v="9"/>
    <x v="9"/>
    <n v="19"/>
    <x v="2"/>
  </r>
  <r>
    <d v="2025-10-11T00:00:00"/>
    <x v="0"/>
    <x v="14"/>
    <x v="14"/>
    <n v="4"/>
    <x v="2"/>
  </r>
  <r>
    <d v="2025-10-11T00:00:00"/>
    <x v="3"/>
    <x v="4"/>
    <x v="4"/>
    <n v="-10"/>
    <x v="1"/>
  </r>
  <r>
    <d v="2025-10-12T00:00:00"/>
    <x v="3"/>
    <x v="4"/>
    <x v="4"/>
    <n v="24"/>
    <x v="2"/>
  </r>
  <r>
    <d v="2025-10-16T00:00:00"/>
    <x v="0"/>
    <x v="0"/>
    <x v="0"/>
    <n v="20"/>
    <x v="2"/>
  </r>
  <r>
    <d v="2025-10-18T00:00:00"/>
    <x v="2"/>
    <x v="9"/>
    <x v="9"/>
    <n v="8"/>
    <x v="2"/>
  </r>
  <r>
    <d v="2025-10-19T00:00:00"/>
    <x v="2"/>
    <x v="12"/>
    <x v="12"/>
    <n v="4"/>
    <x v="2"/>
  </r>
  <r>
    <d v="2025-10-26T00:00:00"/>
    <x v="0"/>
    <x v="12"/>
    <x v="12"/>
    <n v="22"/>
    <x v="2"/>
  </r>
  <r>
    <d v="2025-10-31T00:00:00"/>
    <x v="0"/>
    <x v="14"/>
    <x v="14"/>
    <n v="-13"/>
    <x v="1"/>
  </r>
  <r>
    <d v="2025-11-06T00:00:00"/>
    <x v="2"/>
    <x v="13"/>
    <x v="13"/>
    <n v="10"/>
    <x v="2"/>
  </r>
  <r>
    <d v="2025-11-07T00:00:00"/>
    <x v="2"/>
    <x v="13"/>
    <x v="13"/>
    <n v="17"/>
    <x v="2"/>
  </r>
  <r>
    <d v="2025-11-10T00:00:00"/>
    <x v="1"/>
    <x v="7"/>
    <x v="7"/>
    <n v="-15"/>
    <x v="1"/>
  </r>
  <r>
    <d v="2025-11-12T00:00:00"/>
    <x v="3"/>
    <x v="6"/>
    <x v="6"/>
    <n v="-6"/>
    <x v="1"/>
  </r>
  <r>
    <d v="2025-11-15T00:00:00"/>
    <x v="2"/>
    <x v="1"/>
    <x v="1"/>
    <n v="-1"/>
    <x v="1"/>
  </r>
  <r>
    <d v="2025-11-15T00:00:00"/>
    <x v="3"/>
    <x v="14"/>
    <x v="14"/>
    <n v="-5"/>
    <x v="1"/>
  </r>
  <r>
    <d v="2025-11-17T00:00:00"/>
    <x v="2"/>
    <x v="2"/>
    <x v="2"/>
    <n v="4"/>
    <x v="2"/>
  </r>
  <r>
    <d v="2025-11-19T00:00:00"/>
    <x v="0"/>
    <x v="0"/>
    <x v="0"/>
    <n v="-14"/>
    <x v="1"/>
  </r>
  <r>
    <d v="2025-11-22T00:00:00"/>
    <x v="0"/>
    <x v="12"/>
    <x v="12"/>
    <n v="-12"/>
    <x v="1"/>
  </r>
  <r>
    <d v="2025-11-23T00:00:00"/>
    <x v="1"/>
    <x v="7"/>
    <x v="7"/>
    <n v="-8"/>
    <x v="1"/>
  </r>
  <r>
    <d v="2025-11-28T00:00:00"/>
    <x v="1"/>
    <x v="4"/>
    <x v="4"/>
    <n v="22"/>
    <x v="2"/>
  </r>
  <r>
    <d v="2025-11-28T00:00:00"/>
    <x v="1"/>
    <x v="5"/>
    <x v="5"/>
    <n v="-17"/>
    <x v="1"/>
  </r>
  <r>
    <d v="2025-11-30T00:00:00"/>
    <x v="2"/>
    <x v="4"/>
    <x v="4"/>
    <n v="-17"/>
    <x v="1"/>
  </r>
  <r>
    <d v="2025-11-30T00:00:00"/>
    <x v="1"/>
    <x v="11"/>
    <x v="11"/>
    <n v="-3"/>
    <x v="1"/>
  </r>
  <r>
    <d v="2025-12-02T00:00:00"/>
    <x v="3"/>
    <x v="11"/>
    <x v="11"/>
    <n v="-5"/>
    <x v="1"/>
  </r>
  <r>
    <d v="2025-12-04T00:00:00"/>
    <x v="2"/>
    <x v="5"/>
    <x v="5"/>
    <n v="4"/>
    <x v="2"/>
  </r>
  <r>
    <d v="2025-12-05T00:00:00"/>
    <x v="1"/>
    <x v="2"/>
    <x v="2"/>
    <n v="-14"/>
    <x v="1"/>
  </r>
  <r>
    <d v="2025-12-06T00:00:00"/>
    <x v="0"/>
    <x v="13"/>
    <x v="13"/>
    <n v="-17"/>
    <x v="1"/>
  </r>
  <r>
    <d v="2025-12-06T00:00:00"/>
    <x v="1"/>
    <x v="3"/>
    <x v="3"/>
    <n v="-11"/>
    <x v="1"/>
  </r>
  <r>
    <d v="2025-12-07T00:00:00"/>
    <x v="2"/>
    <x v="11"/>
    <x v="11"/>
    <n v="-14"/>
    <x v="1"/>
  </r>
  <r>
    <d v="2025-12-08T00:00:00"/>
    <x v="2"/>
    <x v="6"/>
    <x v="6"/>
    <n v="8"/>
    <x v="2"/>
  </r>
  <r>
    <d v="2025-12-08T00:00:00"/>
    <x v="3"/>
    <x v="10"/>
    <x v="10"/>
    <n v="-15"/>
    <x v="1"/>
  </r>
  <r>
    <d v="2025-12-11T00:00:00"/>
    <x v="1"/>
    <x v="5"/>
    <x v="5"/>
    <n v="-8"/>
    <x v="1"/>
  </r>
  <r>
    <d v="2025-12-15T00:00:00"/>
    <x v="1"/>
    <x v="2"/>
    <x v="2"/>
    <n v="1"/>
    <x v="2"/>
  </r>
  <r>
    <d v="2025-12-17T00:00:00"/>
    <x v="2"/>
    <x v="5"/>
    <x v="5"/>
    <n v="-10"/>
    <x v="1"/>
  </r>
  <r>
    <d v="2025-12-19T00:00:00"/>
    <x v="1"/>
    <x v="14"/>
    <x v="14"/>
    <n v="21"/>
    <x v="2"/>
  </r>
  <r>
    <d v="2025-12-20T00:00:00"/>
    <x v="0"/>
    <x v="5"/>
    <x v="5"/>
    <n v="3"/>
    <x v="2"/>
  </r>
  <r>
    <d v="2025-12-20T00:00:00"/>
    <x v="3"/>
    <x v="11"/>
    <x v="11"/>
    <n v="18"/>
    <x v="2"/>
  </r>
  <r>
    <d v="2025-12-23T00:00:00"/>
    <x v="3"/>
    <x v="12"/>
    <x v="12"/>
    <n v="-19"/>
    <x v="1"/>
  </r>
  <r>
    <d v="2025-12-26T00:00:00"/>
    <x v="2"/>
    <x v="13"/>
    <x v="13"/>
    <n v="-6"/>
    <x v="1"/>
  </r>
  <r>
    <d v="2025-12-27T00:00:00"/>
    <x v="3"/>
    <x v="1"/>
    <x v="1"/>
    <n v="18"/>
    <x v="2"/>
  </r>
  <r>
    <d v="2026-01-15T00:00:00"/>
    <x v="0"/>
    <x v="9"/>
    <x v="9"/>
    <n v="5"/>
    <x v="2"/>
  </r>
  <r>
    <d v="2026-01-20T00:00:00"/>
    <x v="0"/>
    <x v="9"/>
    <x v="9"/>
    <n v="-5"/>
    <x v="1"/>
  </r>
  <r>
    <d v="2026-07-25T00:00:00"/>
    <x v="0"/>
    <x v="9"/>
    <x v="9"/>
    <n v="100"/>
    <x v="2"/>
  </r>
  <r>
    <d v="2026-07-26T00:00:00"/>
    <x v="0"/>
    <x v="9"/>
    <x v="9"/>
    <n v="-100"/>
    <x v="1"/>
  </r>
  <r>
    <d v="2026-07-27T00:00:00"/>
    <x v="0"/>
    <x v="9"/>
    <x v="9"/>
    <n v="-50"/>
    <x v="1"/>
  </r>
  <r>
    <d v="2026-07-28T00:00:00"/>
    <x v="0"/>
    <x v="9"/>
    <x v="9"/>
    <n v="50"/>
    <x v="2"/>
  </r>
  <r>
    <d v="2026-07-28T00:00:00"/>
    <x v="0"/>
    <x v="11"/>
    <x v="11"/>
    <n v="40"/>
    <x v="2"/>
  </r>
  <r>
    <d v="2026-07-29T00:00:00"/>
    <x v="0"/>
    <x v="11"/>
    <x v="11"/>
    <n v="-4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A28B583-691B-4749-BE1C-5F79CC816DAE}" name="PivotTable7"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20">
  <location ref="L4:M9" firstHeaderRow="1" firstDataRow="1" firstDataCol="1"/>
  <pivotFields count="6">
    <pivotField compact="0" numFmtId="22" outline="0" showAll="0" defaultSubtotal="0">
      <extLst>
        <ext xmlns:x14="http://schemas.microsoft.com/office/spreadsheetml/2009/9/main" uri="{2946ED86-A175-432a-8AC1-64E0C546D7DE}">
          <x14:pivotField fillDownLabels="1"/>
        </ext>
      </extLst>
    </pivotField>
    <pivotField axis="axisRow" compact="0" outline="0" showAll="0" defaultSubtotal="0">
      <items count="4">
        <item x="0"/>
        <item x="1"/>
        <item x="2"/>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measureFilter="1"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1"/>
  </rowFields>
  <rowItems count="5">
    <i>
      <x/>
    </i>
    <i>
      <x v="1"/>
    </i>
    <i>
      <x v="2"/>
    </i>
    <i>
      <x v="3"/>
    </i>
    <i t="grand">
      <x/>
    </i>
  </rowItems>
  <colItems count="1">
    <i/>
  </colItems>
  <dataFields count="1">
    <dataField name="Count of Quantity" fld="4" subtotal="count" baseField="1" baseItem="0"/>
  </dataFields>
  <chartFormats count="6">
    <chartFormat chart="3" format="0"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39F8DA-CFBB-4BC0-B201-78A25BC29025}" name="PivotTable6"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0">
  <location ref="I4:J12" firstHeaderRow="1" firstDataRow="1" firstDataCol="1"/>
  <pivotFields count="6">
    <pivotField compact="0" numFmtId="22" outline="0" showAll="0" defaultSubtotal="0">
      <extLst>
        <ext xmlns:x14="http://schemas.microsoft.com/office/spreadsheetml/2009/9/main" uri="{2946ED86-A175-432a-8AC1-64E0C546D7DE}">
          <x14:pivotField fillDownLabels="1"/>
        </ext>
      </extLst>
    </pivotField>
    <pivotField compact="0" outline="0" showAll="0" defaultSubtotal="0">
      <items count="4">
        <item x="0"/>
        <item h="1" x="1"/>
        <item h="1" x="2"/>
        <item h="1"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measureFilter="1" defaultSubtotal="0">
      <items count="15">
        <item x="0"/>
        <item x="1"/>
        <item x="2"/>
        <item x="3"/>
        <item x="4"/>
        <item x="5"/>
        <item x="6"/>
        <item x="7"/>
        <item x="8"/>
        <item x="9"/>
        <item x="10"/>
        <item x="11"/>
        <item x="12"/>
        <item x="13"/>
        <item x="1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3"/>
  </rowFields>
  <rowItems count="8">
    <i>
      <x v="2"/>
    </i>
    <i>
      <x v="3"/>
    </i>
    <i>
      <x v="4"/>
    </i>
    <i>
      <x v="5"/>
    </i>
    <i>
      <x v="6"/>
    </i>
    <i>
      <x v="9"/>
    </i>
    <i>
      <x v="11"/>
    </i>
    <i t="grand">
      <x/>
    </i>
  </rowItems>
  <colItems count="1">
    <i/>
  </colItems>
  <dataFields count="1">
    <dataField name="Sum of Quantity" fld="4" baseField="0" baseItem="0"/>
  </dataFields>
  <chartFormats count="8">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3" count="1" selected="0">
            <x v="2"/>
          </reference>
        </references>
      </pivotArea>
    </chartFormat>
    <chartFormat chart="6" format="9">
      <pivotArea type="data" outline="0" fieldPosition="0">
        <references count="2">
          <reference field="4294967294" count="1" selected="0">
            <x v="0"/>
          </reference>
          <reference field="3" count="1" selected="0">
            <x v="5"/>
          </reference>
        </references>
      </pivotArea>
    </chartFormat>
    <chartFormat chart="6" format="10">
      <pivotArea type="data" outline="0" fieldPosition="0">
        <references count="2">
          <reference field="4294967294" count="1" selected="0">
            <x v="0"/>
          </reference>
          <reference field="3" count="1" selected="0">
            <x v="6"/>
          </reference>
        </references>
      </pivotArea>
    </chartFormat>
    <chartFormat chart="6" format="11">
      <pivotArea type="data" outline="0" fieldPosition="0">
        <references count="2">
          <reference field="4294967294" count="1" selected="0">
            <x v="0"/>
          </reference>
          <reference field="3" count="1" selected="0">
            <x v="9"/>
          </reference>
        </references>
      </pivotArea>
    </chartFormat>
    <chartFormat chart="6" format="12">
      <pivotArea type="data" outline="0" fieldPosition="0">
        <references count="2">
          <reference field="4294967294" count="1" selected="0">
            <x v="0"/>
          </reference>
          <reference field="3" count="1" selected="0">
            <x v="11"/>
          </reference>
        </references>
      </pivotArea>
    </chartFormat>
    <chartFormat chart="6" format="13">
      <pivotArea type="data" outline="0" fieldPosition="0">
        <references count="2">
          <reference field="4294967294" count="1" selected="0">
            <x v="0"/>
          </reference>
          <reference field="3" count="1" selected="0">
            <x v="3"/>
          </reference>
        </references>
      </pivotArea>
    </chartFormat>
    <chartFormat chart="6" format="14">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92C9DA-4364-485E-A856-9A4F81CD3714}" name="PivotTable5"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4:G20" firstHeaderRow="1" firstDataRow="1" firstDataCol="2" rowPageCount="1" colPageCount="1"/>
  <pivotFields count="6">
    <pivotField compact="0" numFmtId="22" outline="0" showAll="0" defaultSubtotal="0">
      <extLst>
        <ext xmlns:x14="http://schemas.microsoft.com/office/spreadsheetml/2009/9/main" uri="{2946ED86-A175-432a-8AC1-64E0C546D7DE}">
          <x14:pivotField fillDownLabels="1"/>
        </ext>
      </extLst>
    </pivotField>
    <pivotField axis="axisPage" compact="0" outline="0" showAll="0" defaultSubtotal="0">
      <items count="4">
        <item x="0"/>
        <item x="1"/>
        <item x="2"/>
        <item x="3"/>
      </items>
      <extLst>
        <ext xmlns:x14="http://schemas.microsoft.com/office/spreadsheetml/2009/9/main" uri="{2946ED86-A175-432a-8AC1-64E0C546D7DE}">
          <x14:pivotField fillDownLabels="1"/>
        </ext>
      </extLst>
    </pivotField>
    <pivotField axis="axisRow" compact="0" outline="0" showAll="0" defaultSubtotal="0">
      <items count="15">
        <item x="9"/>
        <item x="5"/>
        <item x="10"/>
        <item x="11"/>
        <item x="13"/>
        <item x="8"/>
        <item x="12"/>
        <item x="0"/>
        <item x="2"/>
        <item x="3"/>
        <item x="6"/>
        <item x="4"/>
        <item x="7"/>
        <item x="1"/>
        <item x="14"/>
      </items>
      <extLst>
        <ext xmlns:x14="http://schemas.microsoft.com/office/spreadsheetml/2009/9/main" uri="{2946ED86-A175-432a-8AC1-64E0C546D7DE}">
          <x14:pivotField fillDownLabels="1"/>
        </ext>
      </extLst>
    </pivotField>
    <pivotField axis="axisRow" compact="0" outline="0" showAll="0" defaultSubtotal="0">
      <items count="15">
        <item x="0"/>
        <item x="1"/>
        <item x="2"/>
        <item x="3"/>
        <item x="4"/>
        <item x="5"/>
        <item x="6"/>
        <item x="7"/>
        <item x="8"/>
        <item x="9"/>
        <item x="10"/>
        <item x="11"/>
        <item x="12"/>
        <item x="13"/>
        <item x="1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2"/>
    <field x="3"/>
  </rowFields>
  <rowItems count="16">
    <i>
      <x/>
      <x v="9"/>
    </i>
    <i>
      <x v="1"/>
      <x v="5"/>
    </i>
    <i>
      <x v="2"/>
      <x v="10"/>
    </i>
    <i>
      <x v="3"/>
      <x v="11"/>
    </i>
    <i>
      <x v="4"/>
      <x v="13"/>
    </i>
    <i>
      <x v="5"/>
      <x v="8"/>
    </i>
    <i>
      <x v="6"/>
      <x v="12"/>
    </i>
    <i>
      <x v="7"/>
      <x/>
    </i>
    <i>
      <x v="8"/>
      <x v="2"/>
    </i>
    <i>
      <x v="9"/>
      <x v="3"/>
    </i>
    <i>
      <x v="10"/>
      <x v="6"/>
    </i>
    <i>
      <x v="11"/>
      <x v="4"/>
    </i>
    <i>
      <x v="12"/>
      <x v="7"/>
    </i>
    <i>
      <x v="13"/>
      <x v="1"/>
    </i>
    <i>
      <x v="14"/>
      <x v="14"/>
    </i>
    <i t="grand">
      <x/>
    </i>
  </rowItems>
  <colItems count="1">
    <i/>
  </colItems>
  <pageFields count="1">
    <pageField fld="1" item="0" hier="-1"/>
  </pageFields>
  <dataFields count="1">
    <dataField name="Sum of Quantity"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8089E6-2A27-4CB4-8586-AA3356D0AC5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rowPageCount="1" colPageCount="1"/>
  <pivotFields count="6">
    <pivotField numFmtId="22" showAll="0"/>
    <pivotField axis="axisPage" showAll="0">
      <items count="5">
        <item x="0"/>
        <item x="1"/>
        <item x="2"/>
        <item x="3"/>
        <item t="default"/>
      </items>
    </pivotField>
    <pivotField showAll="0"/>
    <pivotField showAll="0"/>
    <pivotField dataField="1" showAll="0"/>
    <pivotField axis="axisRow" showAll="0">
      <items count="4">
        <item x="0"/>
        <item x="2"/>
        <item x="1"/>
        <item t="default"/>
      </items>
    </pivotField>
  </pivotFields>
  <rowFields count="1">
    <field x="5"/>
  </rowFields>
  <rowItems count="4">
    <i>
      <x/>
    </i>
    <i>
      <x v="1"/>
    </i>
    <i>
      <x v="2"/>
    </i>
    <i t="grand">
      <x/>
    </i>
  </rowItems>
  <colItems count="1">
    <i/>
  </colItems>
  <pageFields count="1">
    <pageField fld="1" item="0" hier="-1"/>
  </pageFields>
  <dataFields count="1">
    <dataField name="Sum of Quantity"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32873688-4F68-47D9-A567-BE358345F43A}" autoFormatId="16" applyNumberFormats="0" applyBorderFormats="0" applyFontFormats="0" applyPatternFormats="0" applyAlignmentFormats="0" applyWidthHeightFormats="0">
  <queryTableRefresh nextId="7">
    <queryTableFields count="6">
      <queryTableField id="1" name="Date" tableColumnId="1"/>
      <queryTableField id="2" name="Branch" tableColumnId="2"/>
      <queryTableField id="3" name="Code" tableColumnId="3"/>
      <queryTableField id="4" name="Product" tableColumnId="4"/>
      <queryTableField id="5" name="Quantity" tableColumnId="5"/>
      <queryTableField id="6" name="Type"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A2F7568F-2F49-4810-87C2-3F69AF7BDAF7}" sourceName="Branch">
  <pivotTables>
    <pivotTable tabId="10" name="PivotTable1"/>
    <pivotTable tabId="10" name="PivotTable5"/>
    <pivotTable tabId="10" name="PivotTable6"/>
  </pivotTables>
  <data>
    <tabular pivotCacheId="1823016822">
      <items count="4">
        <i x="0" s="1"/>
        <i x="1"/>
        <i x="2"/>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xr10:uid="{152D76CC-DA90-44B0-AA0C-7662CE09D61C}" cache="Slicer_Branch" caption="Branch" columnCount="4" showCaption="0" style="SlicerStyleOther2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39B9DD5-3A6E-4868-A377-3D00588CE7C0}" name="tblOpening_1" displayName="tblOpening_1" ref="A1:F250" tableType="queryTable" totalsRowShown="0">
  <autoFilter ref="A1:F250" xr:uid="{A39B9DD5-3A6E-4868-A377-3D00588CE7C0}"/>
  <sortState xmlns:xlrd2="http://schemas.microsoft.com/office/spreadsheetml/2017/richdata2" ref="A2:F250">
    <sortCondition ref="A1:A250"/>
  </sortState>
  <tableColumns count="6">
    <tableColumn id="1" xr3:uid="{7828FC37-6B0C-425E-ADED-178C69A0BC4D}" uniqueName="1" name="Date" queryTableFieldId="1" dataDxfId="6"/>
    <tableColumn id="2" xr3:uid="{5068814E-2475-4DE3-B0A8-91015A5B6836}" uniqueName="2" name="Branch" queryTableFieldId="2" dataDxfId="5"/>
    <tableColumn id="3" xr3:uid="{72C9BDF0-9D52-4934-B7F5-4B2084C1D7D5}" uniqueName="3" name="Code" queryTableFieldId="3" dataDxfId="4"/>
    <tableColumn id="4" xr3:uid="{DB7C2A5E-61F4-4A26-9ADE-79AE35C9894D}" uniqueName="4" name="Product" queryTableFieldId="4" dataDxfId="3"/>
    <tableColumn id="5" xr3:uid="{C86B8AA4-4600-4CB5-9FBD-958997F4952B}" uniqueName="5" name="Quantity" queryTableFieldId="5"/>
    <tableColumn id="6" xr3:uid="{4C958BB7-C010-4476-9D3D-1F9183890066}" uniqueName="6" name="Type" queryTableFieldId="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Opening" displayName="tblOpening" ref="A1:E61">
  <autoFilter ref="A1:E61" xr:uid="{00000000-0009-0000-0100-000001000000}"/>
  <sortState xmlns:xlrd2="http://schemas.microsoft.com/office/spreadsheetml/2017/richdata2" ref="A2:E61">
    <sortCondition ref="B1:B61"/>
  </sortState>
  <tableColumns count="5">
    <tableColumn id="1" xr3:uid="{00000000-0010-0000-0000-000001000000}" name="Date" dataDxfId="2"/>
    <tableColumn id="2" xr3:uid="{00000000-0010-0000-0000-000002000000}" name="Branch"/>
    <tableColumn id="3" xr3:uid="{00000000-0010-0000-0000-000003000000}" name="Code"/>
    <tableColumn id="4" xr3:uid="{00000000-0010-0000-0000-000004000000}" name="Product"/>
    <tableColumn id="5" xr3:uid="{00000000-0010-0000-0000-000005000000}" name="Quantity"/>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StockIn" displayName="tblStockIn" ref="A1:E99">
  <autoFilter ref="A1:E99" xr:uid="{00000000-0009-0000-0100-000002000000}"/>
  <sortState xmlns:xlrd2="http://schemas.microsoft.com/office/spreadsheetml/2017/richdata2" ref="A2:E95">
    <sortCondition ref="A1:A95"/>
  </sortState>
  <tableColumns count="5">
    <tableColumn id="1" xr3:uid="{00000000-0010-0000-0100-000001000000}" name="Date" dataDxfId="1"/>
    <tableColumn id="2" xr3:uid="{00000000-0010-0000-0100-000002000000}" name="Branch"/>
    <tableColumn id="3" xr3:uid="{00000000-0010-0000-0100-000003000000}" name="Code"/>
    <tableColumn id="4" xr3:uid="{00000000-0010-0000-0100-000004000000}" name="Product"/>
    <tableColumn id="5" xr3:uid="{00000000-0010-0000-0100-000005000000}" name="Quantity"/>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StockOut" displayName="tblStockOut" ref="A1:E92">
  <autoFilter ref="A1:E92" xr:uid="{00000000-0009-0000-0100-000003000000}"/>
  <sortState xmlns:xlrd2="http://schemas.microsoft.com/office/spreadsheetml/2017/richdata2" ref="A2:E88">
    <sortCondition ref="A1:A88"/>
  </sortState>
  <tableColumns count="5">
    <tableColumn id="1" xr3:uid="{00000000-0010-0000-0200-000001000000}" name="Date" dataDxfId="0"/>
    <tableColumn id="2" xr3:uid="{00000000-0010-0000-0200-000002000000}" name="Branch"/>
    <tableColumn id="3" xr3:uid="{00000000-0010-0000-0200-000003000000}" name="Code"/>
    <tableColumn id="4" xr3:uid="{00000000-0010-0000-0200-000004000000}" name="Product"/>
    <tableColumn id="5" xr3:uid="{00000000-0010-0000-0200-000005000000}" name="Quantity"/>
  </tableColumns>
  <tableStyleInfo name="TableStyleMedium2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5084D-A4B6-4F67-A317-7FFAD31D42B1}">
  <sheetPr codeName="Sheet1"/>
  <dimension ref="J7:N24"/>
  <sheetViews>
    <sheetView showGridLines="0" tabSelected="1" zoomScale="70" zoomScaleNormal="70" workbookViewId="0">
      <selection activeCell="K20" sqref="K20"/>
    </sheetView>
  </sheetViews>
  <sheetFormatPr defaultRowHeight="15" x14ac:dyDescent="0.25"/>
  <cols>
    <col min="10" max="10" width="10.28515625" customWidth="1"/>
    <col min="11" max="11" width="34.28515625" customWidth="1"/>
    <col min="13" max="13" width="5.5703125" customWidth="1"/>
    <col min="14" max="14" width="13.5703125" customWidth="1"/>
    <col min="15" max="15" width="2.85546875" customWidth="1"/>
  </cols>
  <sheetData>
    <row r="7" spans="10:14" ht="15.75" x14ac:dyDescent="0.25">
      <c r="J7" s="8" t="s">
        <v>49</v>
      </c>
    </row>
    <row r="8" spans="10:14" x14ac:dyDescent="0.25">
      <c r="J8" s="7" t="s">
        <v>1</v>
      </c>
      <c r="K8" s="7" t="s">
        <v>2</v>
      </c>
      <c r="L8" s="7" t="s">
        <v>35</v>
      </c>
      <c r="M8" s="7"/>
      <c r="N8" s="7" t="s">
        <v>48</v>
      </c>
    </row>
    <row r="9" spans="10:14" x14ac:dyDescent="0.25">
      <c r="J9" t="str">
        <f>Analysis!E5</f>
        <v>GH-001</v>
      </c>
      <c r="K9" t="str">
        <f>Analysis!F5</f>
        <v>Men's Polo T-Shirt (Cotton)</v>
      </c>
      <c r="L9">
        <f>Analysis!G5</f>
        <v>53</v>
      </c>
      <c r="M9" s="9" cm="1">
        <f t="array" ref="M9">_xlfn.IFS(L9&gt;15,1,L9&gt;5,0,L9&gt;=0,-1)</f>
        <v>1</v>
      </c>
      <c r="N9" t="str" cm="1">
        <f t="array" ref="N9">_xlfn.IFS(L9&gt;15,"SURPLUS",L9&gt;5,"LOW STOCK",L9&gt;=0,"RE-STOCK NOW")</f>
        <v>SURPLUS</v>
      </c>
    </row>
    <row r="10" spans="10:14" x14ac:dyDescent="0.25">
      <c r="J10" t="str">
        <f>Analysis!E6</f>
        <v>GH-002</v>
      </c>
      <c r="K10" t="str">
        <f>Analysis!F6</f>
        <v>Ladies Ankara Print Dress</v>
      </c>
      <c r="L10">
        <f>Analysis!G6</f>
        <v>79</v>
      </c>
      <c r="M10" s="9" cm="1">
        <f t="array" ref="M10">_xlfn.IFS(L10&gt;15,1,L10&gt;5,0,L10&gt;=0,-1)</f>
        <v>1</v>
      </c>
      <c r="N10" t="str" cm="1">
        <f t="array" ref="N10">_xlfn.IFS(L10&gt;15,"SURPLUS",L10&gt;5,"LOW STOCK",L10&gt;=0,"RE-STOCK NOW")</f>
        <v>SURPLUS</v>
      </c>
    </row>
    <row r="11" spans="10:14" x14ac:dyDescent="0.25">
      <c r="J11" t="str">
        <f>Analysis!E7</f>
        <v>GH-003</v>
      </c>
      <c r="K11" t="str">
        <f>Analysis!F7</f>
        <v>Men's Slim Fit Jeans</v>
      </c>
      <c r="L11">
        <f>Analysis!G7</f>
        <v>30</v>
      </c>
      <c r="M11" s="9" cm="1">
        <f t="array" ref="M11">_xlfn.IFS(L11&gt;15,1,L11&gt;5,0,L11&gt;=0,-1)</f>
        <v>1</v>
      </c>
      <c r="N11" t="str" cm="1">
        <f t="array" ref="N11">_xlfn.IFS(L11&gt;15,"SURPLUS",L11&gt;5,"LOW STOCK",L11&gt;=0,"RE-STOCK NOW")</f>
        <v>SURPLUS</v>
      </c>
    </row>
    <row r="12" spans="10:14" x14ac:dyDescent="0.25">
      <c r="J12" t="str">
        <f>Analysis!E8</f>
        <v>GH-004</v>
      </c>
      <c r="K12" t="str">
        <f>Analysis!F8</f>
        <v>School Uniform Shirt (White)</v>
      </c>
      <c r="L12">
        <f>Analysis!G8</f>
        <v>39</v>
      </c>
      <c r="M12" s="9" cm="1">
        <f t="array" ref="M12">_xlfn.IFS(L12&gt;15,1,L12&gt;5,0,L12&gt;=0,-1)</f>
        <v>1</v>
      </c>
      <c r="N12" t="str" cm="1">
        <f t="array" ref="N12">_xlfn.IFS(L12&gt;15,"SURPLUS",L12&gt;5,"LOW STOCK",L12&gt;=0,"RE-STOCK NOW")</f>
        <v>SURPLUS</v>
      </c>
    </row>
    <row r="13" spans="10:14" x14ac:dyDescent="0.25">
      <c r="J13" t="str">
        <f>Analysis!E9</f>
        <v>GH-005</v>
      </c>
      <c r="K13" t="str">
        <f>Analysis!F9</f>
        <v>Waterproof Rain Jacket</v>
      </c>
      <c r="L13">
        <f>Analysis!G9</f>
        <v>6</v>
      </c>
      <c r="M13" s="9" cm="1">
        <f t="array" ref="M13">_xlfn.IFS(L13&gt;15,1,L13&gt;5,0,L13&gt;=0,-1)</f>
        <v>0</v>
      </c>
      <c r="N13" t="str" cm="1">
        <f t="array" ref="N13">_xlfn.IFS(L13&gt;15,"SURPLUS",L13&gt;5,"LOW STOCK",L13&gt;=0,"RE-STOCK NOW")</f>
        <v>LOW STOCK</v>
      </c>
    </row>
    <row r="14" spans="10:14" x14ac:dyDescent="0.25">
      <c r="J14" t="str">
        <f>Analysis!E10</f>
        <v>GH-006</v>
      </c>
      <c r="K14" t="str">
        <f>Analysis!F10</f>
        <v>Men's Formal Long-Sleeve Shirt</v>
      </c>
      <c r="L14">
        <f>Analysis!G10</f>
        <v>4</v>
      </c>
      <c r="M14" s="9" cm="1">
        <f t="array" ref="M14">_xlfn.IFS(L14&gt;15,1,L14&gt;5,0,L14&gt;=0,-1)</f>
        <v>-1</v>
      </c>
      <c r="N14" t="str" cm="1">
        <f t="array" ref="N14">_xlfn.IFS(L14&gt;15,"SURPLUS",L14&gt;5,"LOW STOCK",L14&gt;=0,"RE-STOCK NOW")</f>
        <v>RE-STOCK NOW</v>
      </c>
    </row>
    <row r="15" spans="10:14" x14ac:dyDescent="0.25">
      <c r="J15" t="str">
        <f>Analysis!E11</f>
        <v>GH-007</v>
      </c>
      <c r="K15" t="str">
        <f>Analysis!F11</f>
        <v>Sports Sneakers (Running)</v>
      </c>
      <c r="L15">
        <f>Analysis!G11</f>
        <v>5</v>
      </c>
      <c r="M15" s="9" cm="1">
        <f t="array" ref="M15">_xlfn.IFS(L15&gt;15,1,L15&gt;5,0,L15&gt;=0,-1)</f>
        <v>-1</v>
      </c>
      <c r="N15" t="str" cm="1">
        <f t="array" ref="N15">_xlfn.IFS(L15&gt;15,"SURPLUS",L15&gt;5,"LOW STOCK",L15&gt;=0,"RE-STOCK NOW")</f>
        <v>RE-STOCK NOW</v>
      </c>
    </row>
    <row r="16" spans="10:14" x14ac:dyDescent="0.25">
      <c r="J16" t="str">
        <f>Analysis!E12</f>
        <v>GH-008</v>
      </c>
      <c r="K16" t="str">
        <f>Analysis!F12</f>
        <v>Ahenema Leather Sandals</v>
      </c>
      <c r="L16">
        <f>Analysis!G12</f>
        <v>20</v>
      </c>
      <c r="M16" s="9" cm="1">
        <f t="array" ref="M16">_xlfn.IFS(L16&gt;15,1,L16&gt;5,0,L16&gt;=0,-1)</f>
        <v>1</v>
      </c>
      <c r="N16" t="str" cm="1">
        <f t="array" ref="N16">_xlfn.IFS(L16&gt;15,"SURPLUS",L16&gt;5,"LOW STOCK",L16&gt;=0,"RE-STOCK NOW")</f>
        <v>SURPLUS</v>
      </c>
    </row>
    <row r="17" spans="10:14" x14ac:dyDescent="0.25">
      <c r="J17" t="str">
        <f>Analysis!E13</f>
        <v>GH-009</v>
      </c>
      <c r="K17" t="str">
        <f>Analysis!F13</f>
        <v>Children's School Sandals</v>
      </c>
      <c r="L17">
        <f>Analysis!G13</f>
        <v>42</v>
      </c>
      <c r="M17" s="9" cm="1">
        <f t="array" ref="M17">_xlfn.IFS(L17&gt;15,1,L17&gt;5,0,L17&gt;=0,-1)</f>
        <v>1</v>
      </c>
      <c r="N17" t="str" cm="1">
        <f t="array" ref="N17">_xlfn.IFS(L17&gt;15,"SURPLUS",L17&gt;5,"LOW STOCK",L17&gt;=0,"RE-STOCK NOW")</f>
        <v>SURPLUS</v>
      </c>
    </row>
    <row r="18" spans="10:14" x14ac:dyDescent="0.25">
      <c r="J18" t="str">
        <f>Analysis!E14</f>
        <v>GH-010</v>
      </c>
      <c r="K18" t="str">
        <f>Analysis!F14</f>
        <v>Cotton Ankle Socks (3-Pack)</v>
      </c>
      <c r="L18">
        <f>Analysis!G14</f>
        <v>39</v>
      </c>
      <c r="M18" s="9" cm="1">
        <f t="array" ref="M18">_xlfn.IFS(L18&gt;15,1,L18&gt;5,0,L18&gt;=0,-1)</f>
        <v>1</v>
      </c>
      <c r="N18" t="str" cm="1">
        <f t="array" ref="N18">_xlfn.IFS(L18&gt;15,"SURPLUS",L18&gt;5,"LOW STOCK",L18&gt;=0,"RE-STOCK NOW")</f>
        <v>SURPLUS</v>
      </c>
    </row>
    <row r="19" spans="10:14" x14ac:dyDescent="0.25">
      <c r="J19" t="str">
        <f>Analysis!E15</f>
        <v>GH-011</v>
      </c>
      <c r="K19" t="str">
        <f>Analysis!F15</f>
        <v>Ladies Handbag (Faux Leather)</v>
      </c>
      <c r="L19">
        <f>Analysis!G15</f>
        <v>92</v>
      </c>
      <c r="M19" s="9" cm="1">
        <f t="array" ref="M19">_xlfn.IFS(L19&gt;15,1,L19&gt;5,0,L19&gt;=0,-1)</f>
        <v>1</v>
      </c>
      <c r="N19" t="str" cm="1">
        <f t="array" ref="N19">_xlfn.IFS(L19&gt;15,"SURPLUS",L19&gt;5,"LOW STOCK",L19&gt;=0,"RE-STOCK NOW")</f>
        <v>SURPLUS</v>
      </c>
    </row>
    <row r="20" spans="10:14" x14ac:dyDescent="0.25">
      <c r="J20" t="str">
        <f>Analysis!E16</f>
        <v>GH-012</v>
      </c>
      <c r="K20" t="str">
        <f>Analysis!F16</f>
        <v>Kente-Print Head Wrap</v>
      </c>
      <c r="L20">
        <f>Analysis!G16</f>
        <v>39</v>
      </c>
      <c r="M20" s="9" cm="1">
        <f t="array" ref="M20">_xlfn.IFS(L20&gt;15,1,L20&gt;5,0,L20&gt;=0,-1)</f>
        <v>1</v>
      </c>
      <c r="N20" t="str" cm="1">
        <f t="array" ref="N20">_xlfn.IFS(L20&gt;15,"SURPLUS",L20&gt;5,"LOW STOCK",L20&gt;=0,"RE-STOCK NOW")</f>
        <v>SURPLUS</v>
      </c>
    </row>
    <row r="21" spans="10:14" x14ac:dyDescent="0.25">
      <c r="J21" t="str">
        <f>Analysis!E17</f>
        <v>GH-013</v>
      </c>
      <c r="K21" t="str">
        <f>Analysis!F17</f>
        <v>Men's Cargo Shorts</v>
      </c>
      <c r="L21">
        <f>Analysis!G17</f>
        <v>2</v>
      </c>
      <c r="M21" s="9" cm="1">
        <f t="array" ref="M21">_xlfn.IFS(L21&gt;15,1,L21&gt;5,0,L21&gt;=0,-1)</f>
        <v>-1</v>
      </c>
      <c r="N21" t="str" cm="1">
        <f t="array" ref="N21">_xlfn.IFS(L21&gt;15,"SURPLUS",L21&gt;5,"LOW STOCK",L21&gt;=0,"RE-STOCK NOW")</f>
        <v>RE-STOCK NOW</v>
      </c>
    </row>
    <row r="22" spans="10:14" x14ac:dyDescent="0.25">
      <c r="J22" t="str">
        <f>Analysis!E18</f>
        <v>GH-014</v>
      </c>
      <c r="K22" t="str">
        <f>Analysis!F18</f>
        <v>Baby Romper Set</v>
      </c>
      <c r="L22">
        <f>Analysis!G18</f>
        <v>10</v>
      </c>
      <c r="M22" s="9" cm="1">
        <f t="array" ref="M22">_xlfn.IFS(L22&gt;15,1,L22&gt;5,0,L22&gt;=0,-1)</f>
        <v>0</v>
      </c>
      <c r="N22" t="str" cm="1">
        <f t="array" ref="N22">_xlfn.IFS(L22&gt;15,"SURPLUS",L22&gt;5,"LOW STOCK",L22&gt;=0,"RE-STOCK NOW")</f>
        <v>LOW STOCK</v>
      </c>
    </row>
    <row r="23" spans="10:14" x14ac:dyDescent="0.25">
      <c r="J23" t="str">
        <f>Analysis!E19</f>
        <v>GH-015</v>
      </c>
      <c r="K23" t="str">
        <f>Analysis!F19</f>
        <v>Wool Blend Cardigan Sweater</v>
      </c>
      <c r="L23">
        <f>Analysis!G19</f>
        <v>30</v>
      </c>
      <c r="M23" s="9" cm="1">
        <f t="array" ref="M23">_xlfn.IFS(L23&gt;15,1,L23&gt;5,0,L23&gt;=0,-1)</f>
        <v>1</v>
      </c>
      <c r="N23" t="str" cm="1">
        <f t="array" ref="N23">_xlfn.IFS(L23&gt;15,"SURPLUS",L23&gt;5,"LOW STOCK",L23&gt;=0,"RE-STOCK NOW")</f>
        <v>SURPLUS</v>
      </c>
    </row>
    <row r="24" spans="10:14" x14ac:dyDescent="0.25">
      <c r="J24" t="str">
        <f>Analysis!E20</f>
        <v>Grand Total</v>
      </c>
      <c r="L24">
        <f>Analysis!G20</f>
        <v>490</v>
      </c>
    </row>
  </sheetData>
  <conditionalFormatting sqref="J9:N23">
    <cfRule type="expression" dxfId="11" priority="1">
      <formula>$M9=-1</formula>
    </cfRule>
    <cfRule type="expression" dxfId="10" priority="2">
      <formula>$M9=-1</formula>
    </cfRule>
    <cfRule type="expression" dxfId="9" priority="3">
      <formula>$M9=0</formula>
    </cfRule>
    <cfRule type="expression" dxfId="8" priority="4">
      <formula>$M9=1</formula>
    </cfRule>
  </conditionalFormatting>
  <conditionalFormatting sqref="M8">
    <cfRule type="expression" dxfId="7" priority="10">
      <formula>$M9=0</formula>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8B3CD-DF18-4FA7-B23F-978C0C3AC4CB}">
  <sheetPr codeName="Sheet2"/>
  <dimension ref="A1:M20"/>
  <sheetViews>
    <sheetView topLeftCell="F1" workbookViewId="0">
      <selection activeCell="L5" sqref="L5:L8"/>
    </sheetView>
  </sheetViews>
  <sheetFormatPr defaultRowHeight="15" x14ac:dyDescent="0.25"/>
  <cols>
    <col min="1" max="1" width="13.85546875" bestFit="1" customWidth="1"/>
    <col min="2" max="2" width="15.42578125" bestFit="1" customWidth="1"/>
    <col min="5" max="5" width="30.85546875" bestFit="1" customWidth="1"/>
    <col min="6" max="6" width="29.28515625" bestFit="1" customWidth="1"/>
    <col min="7" max="7" width="15.42578125" bestFit="1" customWidth="1"/>
    <col min="9" max="9" width="28.42578125" bestFit="1" customWidth="1"/>
    <col min="10" max="10" width="15.42578125" bestFit="1" customWidth="1"/>
    <col min="12" max="12" width="10.7109375" bestFit="1" customWidth="1"/>
    <col min="13" max="13" width="16" bestFit="1" customWidth="1"/>
  </cols>
  <sheetData>
    <row r="1" spans="1:13" x14ac:dyDescent="0.25">
      <c r="A1" s="5" t="s">
        <v>3</v>
      </c>
      <c r="B1" t="s">
        <v>36</v>
      </c>
    </row>
    <row r="2" spans="1:13" x14ac:dyDescent="0.25">
      <c r="E2" s="5" t="s">
        <v>3</v>
      </c>
      <c r="F2" t="s">
        <v>36</v>
      </c>
    </row>
    <row r="3" spans="1:13" x14ac:dyDescent="0.25">
      <c r="A3" s="5" t="s">
        <v>45</v>
      </c>
      <c r="B3" t="s">
        <v>47</v>
      </c>
    </row>
    <row r="4" spans="1:13" x14ac:dyDescent="0.25">
      <c r="A4" s="6" t="s">
        <v>41</v>
      </c>
      <c r="B4" s="13">
        <v>359</v>
      </c>
      <c r="E4" s="5" t="s">
        <v>1</v>
      </c>
      <c r="F4" s="5" t="s">
        <v>2</v>
      </c>
      <c r="G4" t="s">
        <v>47</v>
      </c>
      <c r="I4" s="5" t="s">
        <v>2</v>
      </c>
      <c r="J4" t="s">
        <v>47</v>
      </c>
      <c r="L4" s="5" t="s">
        <v>3</v>
      </c>
      <c r="M4" t="s">
        <v>50</v>
      </c>
    </row>
    <row r="5" spans="1:13" x14ac:dyDescent="0.25">
      <c r="A5" s="6" t="s">
        <v>42</v>
      </c>
      <c r="B5" s="13">
        <v>558</v>
      </c>
      <c r="E5" t="s">
        <v>4</v>
      </c>
      <c r="F5" t="s">
        <v>5</v>
      </c>
      <c r="G5" s="13">
        <v>53</v>
      </c>
      <c r="I5" t="s">
        <v>21</v>
      </c>
      <c r="J5" s="13">
        <v>42</v>
      </c>
      <c r="L5" t="s">
        <v>36</v>
      </c>
      <c r="M5">
        <v>68</v>
      </c>
    </row>
    <row r="6" spans="1:13" x14ac:dyDescent="0.25">
      <c r="A6" s="6" t="s">
        <v>43</v>
      </c>
      <c r="B6" s="13">
        <v>-427</v>
      </c>
      <c r="E6" t="s">
        <v>6</v>
      </c>
      <c r="F6" t="s">
        <v>7</v>
      </c>
      <c r="G6" s="13">
        <v>79</v>
      </c>
      <c r="I6" t="s">
        <v>23</v>
      </c>
      <c r="J6" s="13">
        <v>39</v>
      </c>
      <c r="L6" t="s">
        <v>38</v>
      </c>
      <c r="M6">
        <v>62</v>
      </c>
    </row>
    <row r="7" spans="1:13" x14ac:dyDescent="0.25">
      <c r="A7" s="6" t="s">
        <v>46</v>
      </c>
      <c r="B7" s="13">
        <v>490</v>
      </c>
      <c r="E7" t="s">
        <v>8</v>
      </c>
      <c r="F7" t="s">
        <v>9</v>
      </c>
      <c r="G7" s="13">
        <v>30</v>
      </c>
      <c r="I7" t="s">
        <v>27</v>
      </c>
      <c r="J7" s="13">
        <v>39</v>
      </c>
      <c r="L7" t="s">
        <v>37</v>
      </c>
      <c r="M7">
        <v>68</v>
      </c>
    </row>
    <row r="8" spans="1:13" x14ac:dyDescent="0.25">
      <c r="E8" t="s">
        <v>10</v>
      </c>
      <c r="F8" t="s">
        <v>11</v>
      </c>
      <c r="G8" s="13">
        <v>39</v>
      </c>
      <c r="I8" t="s">
        <v>7</v>
      </c>
      <c r="J8" s="13">
        <v>79</v>
      </c>
      <c r="L8" t="s">
        <v>39</v>
      </c>
      <c r="M8">
        <v>51</v>
      </c>
    </row>
    <row r="9" spans="1:13" x14ac:dyDescent="0.25">
      <c r="A9" t="str">
        <f>A4</f>
        <v>Opening Stock</v>
      </c>
      <c r="B9">
        <f>B4</f>
        <v>359</v>
      </c>
      <c r="E9" t="s">
        <v>12</v>
      </c>
      <c r="F9" t="s">
        <v>13</v>
      </c>
      <c r="G9" s="13">
        <v>6</v>
      </c>
      <c r="I9" t="s">
        <v>25</v>
      </c>
      <c r="J9" s="13">
        <v>92</v>
      </c>
      <c r="L9" t="s">
        <v>46</v>
      </c>
      <c r="M9">
        <v>249</v>
      </c>
    </row>
    <row r="10" spans="1:13" x14ac:dyDescent="0.25">
      <c r="A10" t="str">
        <f t="shared" ref="A10:B12" si="0">A5</f>
        <v>Stock In</v>
      </c>
      <c r="B10">
        <f t="shared" si="0"/>
        <v>558</v>
      </c>
      <c r="E10" t="s">
        <v>14</v>
      </c>
      <c r="F10" t="s">
        <v>15</v>
      </c>
      <c r="G10" s="13">
        <v>4</v>
      </c>
      <c r="I10" t="s">
        <v>5</v>
      </c>
      <c r="J10" s="13">
        <v>53</v>
      </c>
    </row>
    <row r="11" spans="1:13" x14ac:dyDescent="0.25">
      <c r="A11" t="str">
        <f t="shared" si="0"/>
        <v>Stock Out</v>
      </c>
      <c r="B11">
        <f t="shared" si="0"/>
        <v>-427</v>
      </c>
      <c r="E11" t="s">
        <v>16</v>
      </c>
      <c r="F11" t="s">
        <v>17</v>
      </c>
      <c r="G11" s="13">
        <v>5</v>
      </c>
      <c r="I11" t="s">
        <v>11</v>
      </c>
      <c r="J11" s="13">
        <v>39</v>
      </c>
    </row>
    <row r="12" spans="1:13" x14ac:dyDescent="0.25">
      <c r="A12" t="str">
        <f t="shared" si="0"/>
        <v>Grand Total</v>
      </c>
      <c r="B12">
        <f t="shared" si="0"/>
        <v>490</v>
      </c>
      <c r="E12" t="s">
        <v>18</v>
      </c>
      <c r="F12" t="s">
        <v>19</v>
      </c>
      <c r="G12" s="13">
        <v>20</v>
      </c>
      <c r="I12" t="s">
        <v>46</v>
      </c>
      <c r="J12" s="13">
        <v>383</v>
      </c>
    </row>
    <row r="13" spans="1:13" x14ac:dyDescent="0.25">
      <c r="E13" t="s">
        <v>20</v>
      </c>
      <c r="F13" t="s">
        <v>21</v>
      </c>
      <c r="G13" s="13">
        <v>42</v>
      </c>
    </row>
    <row r="14" spans="1:13" x14ac:dyDescent="0.25">
      <c r="E14" t="s">
        <v>22</v>
      </c>
      <c r="F14" t="s">
        <v>23</v>
      </c>
      <c r="G14" s="13">
        <v>39</v>
      </c>
    </row>
    <row r="15" spans="1:13" x14ac:dyDescent="0.25">
      <c r="E15" t="s">
        <v>24</v>
      </c>
      <c r="F15" t="s">
        <v>25</v>
      </c>
      <c r="G15" s="13">
        <v>92</v>
      </c>
    </row>
    <row r="16" spans="1:13" x14ac:dyDescent="0.25">
      <c r="E16" t="s">
        <v>26</v>
      </c>
      <c r="F16" t="s">
        <v>27</v>
      </c>
      <c r="G16" s="13">
        <v>39</v>
      </c>
    </row>
    <row r="17" spans="5:7" x14ac:dyDescent="0.25">
      <c r="E17" t="s">
        <v>28</v>
      </c>
      <c r="F17" t="s">
        <v>29</v>
      </c>
      <c r="G17" s="13">
        <v>2</v>
      </c>
    </row>
    <row r="18" spans="5:7" x14ac:dyDescent="0.25">
      <c r="E18" t="s">
        <v>30</v>
      </c>
      <c r="F18" t="s">
        <v>31</v>
      </c>
      <c r="G18" s="13">
        <v>10</v>
      </c>
    </row>
    <row r="19" spans="5:7" x14ac:dyDescent="0.25">
      <c r="E19" t="s">
        <v>32</v>
      </c>
      <c r="F19" t="s">
        <v>33</v>
      </c>
      <c r="G19" s="13">
        <v>30</v>
      </c>
    </row>
    <row r="20" spans="5:7" x14ac:dyDescent="0.25">
      <c r="E20" t="s">
        <v>46</v>
      </c>
      <c r="G20" s="13">
        <v>490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DD915-3648-4551-B3FD-591B663BCDBB}">
  <sheetPr codeName="Sheet3"/>
  <dimension ref="A1:F250"/>
  <sheetViews>
    <sheetView topLeftCell="A226" workbookViewId="0">
      <selection activeCell="F64" sqref="F64"/>
    </sheetView>
  </sheetViews>
  <sheetFormatPr defaultRowHeight="15" x14ac:dyDescent="0.25"/>
  <cols>
    <col min="1" max="1" width="10.42578125" style="12" bestFit="1" customWidth="1"/>
    <col min="2" max="2" width="8.85546875" bestFit="1" customWidth="1"/>
    <col min="3" max="3" width="7.42578125" bestFit="1" customWidth="1"/>
    <col min="4" max="4" width="27.140625" bestFit="1" customWidth="1"/>
    <col min="5" max="5" width="10.42578125" bestFit="1" customWidth="1"/>
    <col min="6" max="6" width="12.5703125" bestFit="1" customWidth="1"/>
  </cols>
  <sheetData>
    <row r="1" spans="1:6" x14ac:dyDescent="0.25">
      <c r="A1" s="12" t="s">
        <v>34</v>
      </c>
      <c r="B1" t="s">
        <v>3</v>
      </c>
      <c r="C1" t="s">
        <v>1</v>
      </c>
      <c r="D1" t="s">
        <v>2</v>
      </c>
      <c r="E1" t="s">
        <v>35</v>
      </c>
      <c r="F1" t="s">
        <v>40</v>
      </c>
    </row>
    <row r="2" spans="1:6" x14ac:dyDescent="0.25">
      <c r="A2" s="12">
        <v>45658</v>
      </c>
      <c r="B2" t="s">
        <v>36</v>
      </c>
      <c r="C2" t="s">
        <v>18</v>
      </c>
      <c r="D2" t="s">
        <v>19</v>
      </c>
      <c r="E2">
        <v>14</v>
      </c>
      <c r="F2" t="s">
        <v>41</v>
      </c>
    </row>
    <row r="3" spans="1:6" x14ac:dyDescent="0.25">
      <c r="A3" s="12">
        <v>45658</v>
      </c>
      <c r="B3" t="s">
        <v>36</v>
      </c>
      <c r="C3" t="s">
        <v>30</v>
      </c>
      <c r="D3" t="s">
        <v>31</v>
      </c>
      <c r="E3">
        <v>29</v>
      </c>
      <c r="F3" t="s">
        <v>41</v>
      </c>
    </row>
    <row r="4" spans="1:6" x14ac:dyDescent="0.25">
      <c r="A4" s="12">
        <v>45658</v>
      </c>
      <c r="B4" t="s">
        <v>36</v>
      </c>
      <c r="C4" t="s">
        <v>20</v>
      </c>
      <c r="D4" t="s">
        <v>21</v>
      </c>
      <c r="E4">
        <v>42</v>
      </c>
      <c r="F4" t="s">
        <v>41</v>
      </c>
    </row>
    <row r="5" spans="1:6" x14ac:dyDescent="0.25">
      <c r="A5" s="12">
        <v>45658</v>
      </c>
      <c r="B5" t="s">
        <v>36</v>
      </c>
      <c r="C5" t="s">
        <v>22</v>
      </c>
      <c r="D5" t="s">
        <v>23</v>
      </c>
      <c r="E5">
        <v>13</v>
      </c>
      <c r="F5" t="s">
        <v>41</v>
      </c>
    </row>
    <row r="6" spans="1:6" x14ac:dyDescent="0.25">
      <c r="A6" s="12">
        <v>45658</v>
      </c>
      <c r="B6" t="s">
        <v>36</v>
      </c>
      <c r="C6" t="s">
        <v>26</v>
      </c>
      <c r="D6" t="s">
        <v>27</v>
      </c>
      <c r="E6">
        <v>35</v>
      </c>
      <c r="F6" t="s">
        <v>41</v>
      </c>
    </row>
    <row r="7" spans="1:6" x14ac:dyDescent="0.25">
      <c r="A7" s="12">
        <v>45658</v>
      </c>
      <c r="B7" t="s">
        <v>36</v>
      </c>
      <c r="C7" t="s">
        <v>6</v>
      </c>
      <c r="D7" t="s">
        <v>7</v>
      </c>
      <c r="E7">
        <v>15</v>
      </c>
      <c r="F7" t="s">
        <v>41</v>
      </c>
    </row>
    <row r="8" spans="1:6" x14ac:dyDescent="0.25">
      <c r="A8" s="12">
        <v>45658</v>
      </c>
      <c r="B8" t="s">
        <v>36</v>
      </c>
      <c r="C8" t="s">
        <v>24</v>
      </c>
      <c r="D8" t="s">
        <v>25</v>
      </c>
      <c r="E8">
        <v>45</v>
      </c>
      <c r="F8" t="s">
        <v>41</v>
      </c>
    </row>
    <row r="9" spans="1:6" x14ac:dyDescent="0.25">
      <c r="A9" s="12">
        <v>45658</v>
      </c>
      <c r="B9" t="s">
        <v>36</v>
      </c>
      <c r="C9" t="s">
        <v>28</v>
      </c>
      <c r="D9" t="s">
        <v>29</v>
      </c>
      <c r="E9">
        <v>10</v>
      </c>
      <c r="F9" t="s">
        <v>41</v>
      </c>
    </row>
    <row r="10" spans="1:6" x14ac:dyDescent="0.25">
      <c r="A10" s="12">
        <v>45658</v>
      </c>
      <c r="B10" t="s">
        <v>36</v>
      </c>
      <c r="C10" t="s">
        <v>14</v>
      </c>
      <c r="D10" t="s">
        <v>15</v>
      </c>
      <c r="E10">
        <v>22</v>
      </c>
      <c r="F10" t="s">
        <v>41</v>
      </c>
    </row>
    <row r="11" spans="1:6" x14ac:dyDescent="0.25">
      <c r="A11" s="12">
        <v>45658</v>
      </c>
      <c r="B11" t="s">
        <v>36</v>
      </c>
      <c r="C11" t="s">
        <v>4</v>
      </c>
      <c r="D11" t="s">
        <v>5</v>
      </c>
      <c r="E11">
        <v>48</v>
      </c>
      <c r="F11" t="s">
        <v>41</v>
      </c>
    </row>
    <row r="12" spans="1:6" x14ac:dyDescent="0.25">
      <c r="A12" s="12">
        <v>45658</v>
      </c>
      <c r="B12" t="s">
        <v>36</v>
      </c>
      <c r="C12" t="s">
        <v>8</v>
      </c>
      <c r="D12" t="s">
        <v>9</v>
      </c>
      <c r="E12">
        <v>9</v>
      </c>
      <c r="F12" t="s">
        <v>41</v>
      </c>
    </row>
    <row r="13" spans="1:6" x14ac:dyDescent="0.25">
      <c r="A13" s="12">
        <v>45658</v>
      </c>
      <c r="B13" t="s">
        <v>36</v>
      </c>
      <c r="C13" t="s">
        <v>10</v>
      </c>
      <c r="D13" t="s">
        <v>11</v>
      </c>
      <c r="E13">
        <v>25</v>
      </c>
      <c r="F13" t="s">
        <v>41</v>
      </c>
    </row>
    <row r="14" spans="1:6" x14ac:dyDescent="0.25">
      <c r="A14" s="12">
        <v>45658</v>
      </c>
      <c r="B14" t="s">
        <v>36</v>
      </c>
      <c r="C14" t="s">
        <v>16</v>
      </c>
      <c r="D14" t="s">
        <v>17</v>
      </c>
      <c r="E14">
        <v>16</v>
      </c>
      <c r="F14" t="s">
        <v>41</v>
      </c>
    </row>
    <row r="15" spans="1:6" x14ac:dyDescent="0.25">
      <c r="A15" s="12">
        <v>45658</v>
      </c>
      <c r="B15" t="s">
        <v>36</v>
      </c>
      <c r="C15" t="s">
        <v>12</v>
      </c>
      <c r="D15" t="s">
        <v>13</v>
      </c>
      <c r="E15">
        <v>23</v>
      </c>
      <c r="F15" t="s">
        <v>41</v>
      </c>
    </row>
    <row r="16" spans="1:6" x14ac:dyDescent="0.25">
      <c r="A16" s="12">
        <v>45658</v>
      </c>
      <c r="B16" t="s">
        <v>36</v>
      </c>
      <c r="C16" t="s">
        <v>32</v>
      </c>
      <c r="D16" t="s">
        <v>33</v>
      </c>
      <c r="E16">
        <v>13</v>
      </c>
      <c r="F16" t="s">
        <v>41</v>
      </c>
    </row>
    <row r="17" spans="1:6" x14ac:dyDescent="0.25">
      <c r="A17" s="12">
        <v>45658</v>
      </c>
      <c r="B17" t="s">
        <v>38</v>
      </c>
      <c r="C17" t="s">
        <v>18</v>
      </c>
      <c r="D17" t="s">
        <v>19</v>
      </c>
      <c r="E17">
        <v>14</v>
      </c>
      <c r="F17" t="s">
        <v>41</v>
      </c>
    </row>
    <row r="18" spans="1:6" x14ac:dyDescent="0.25">
      <c r="A18" s="12">
        <v>45658</v>
      </c>
      <c r="B18" t="s">
        <v>38</v>
      </c>
      <c r="C18" t="s">
        <v>30</v>
      </c>
      <c r="D18" t="s">
        <v>31</v>
      </c>
      <c r="E18">
        <v>46</v>
      </c>
      <c r="F18" t="s">
        <v>41</v>
      </c>
    </row>
    <row r="19" spans="1:6" x14ac:dyDescent="0.25">
      <c r="A19" s="12">
        <v>45658</v>
      </c>
      <c r="B19" t="s">
        <v>38</v>
      </c>
      <c r="C19" t="s">
        <v>20</v>
      </c>
      <c r="D19" t="s">
        <v>21</v>
      </c>
      <c r="E19">
        <v>13</v>
      </c>
      <c r="F19" t="s">
        <v>41</v>
      </c>
    </row>
    <row r="20" spans="1:6" x14ac:dyDescent="0.25">
      <c r="A20" s="12">
        <v>45658</v>
      </c>
      <c r="B20" t="s">
        <v>38</v>
      </c>
      <c r="C20" t="s">
        <v>22</v>
      </c>
      <c r="D20" t="s">
        <v>23</v>
      </c>
      <c r="E20">
        <v>32</v>
      </c>
      <c r="F20" t="s">
        <v>41</v>
      </c>
    </row>
    <row r="21" spans="1:6" x14ac:dyDescent="0.25">
      <c r="A21" s="12">
        <v>45658</v>
      </c>
      <c r="B21" t="s">
        <v>38</v>
      </c>
      <c r="C21" t="s">
        <v>26</v>
      </c>
      <c r="D21" t="s">
        <v>27</v>
      </c>
      <c r="E21">
        <v>30</v>
      </c>
      <c r="F21" t="s">
        <v>41</v>
      </c>
    </row>
    <row r="22" spans="1:6" x14ac:dyDescent="0.25">
      <c r="A22" s="12">
        <v>45658</v>
      </c>
      <c r="B22" t="s">
        <v>38</v>
      </c>
      <c r="C22" t="s">
        <v>6</v>
      </c>
      <c r="D22" t="s">
        <v>7</v>
      </c>
      <c r="E22">
        <v>35</v>
      </c>
      <c r="F22" t="s">
        <v>41</v>
      </c>
    </row>
    <row r="23" spans="1:6" x14ac:dyDescent="0.25">
      <c r="A23" s="12">
        <v>45658</v>
      </c>
      <c r="B23" t="s">
        <v>38</v>
      </c>
      <c r="C23" t="s">
        <v>24</v>
      </c>
      <c r="D23" t="s">
        <v>25</v>
      </c>
      <c r="E23">
        <v>47</v>
      </c>
      <c r="F23" t="s">
        <v>41</v>
      </c>
    </row>
    <row r="24" spans="1:6" x14ac:dyDescent="0.25">
      <c r="A24" s="12">
        <v>45658</v>
      </c>
      <c r="B24" t="s">
        <v>38</v>
      </c>
      <c r="C24" t="s">
        <v>28</v>
      </c>
      <c r="D24" t="s">
        <v>29</v>
      </c>
      <c r="E24">
        <v>55</v>
      </c>
      <c r="F24" t="s">
        <v>41</v>
      </c>
    </row>
    <row r="25" spans="1:6" x14ac:dyDescent="0.25">
      <c r="A25" s="12">
        <v>45658</v>
      </c>
      <c r="B25" t="s">
        <v>38</v>
      </c>
      <c r="C25" t="s">
        <v>14</v>
      </c>
      <c r="D25" t="s">
        <v>15</v>
      </c>
      <c r="E25">
        <v>21</v>
      </c>
      <c r="F25" t="s">
        <v>41</v>
      </c>
    </row>
    <row r="26" spans="1:6" x14ac:dyDescent="0.25">
      <c r="A26" s="12">
        <v>45658</v>
      </c>
      <c r="B26" t="s">
        <v>38</v>
      </c>
      <c r="C26" t="s">
        <v>4</v>
      </c>
      <c r="D26" t="s">
        <v>5</v>
      </c>
      <c r="E26">
        <v>18</v>
      </c>
      <c r="F26" t="s">
        <v>41</v>
      </c>
    </row>
    <row r="27" spans="1:6" x14ac:dyDescent="0.25">
      <c r="A27" s="12">
        <v>45658</v>
      </c>
      <c r="B27" t="s">
        <v>38</v>
      </c>
      <c r="C27" t="s">
        <v>8</v>
      </c>
      <c r="D27" t="s">
        <v>9</v>
      </c>
      <c r="E27">
        <v>29</v>
      </c>
      <c r="F27" t="s">
        <v>41</v>
      </c>
    </row>
    <row r="28" spans="1:6" x14ac:dyDescent="0.25">
      <c r="A28" s="12">
        <v>45658</v>
      </c>
      <c r="B28" t="s">
        <v>38</v>
      </c>
      <c r="C28" t="s">
        <v>10</v>
      </c>
      <c r="D28" t="s">
        <v>11</v>
      </c>
      <c r="E28">
        <v>25</v>
      </c>
      <c r="F28" t="s">
        <v>41</v>
      </c>
    </row>
    <row r="29" spans="1:6" x14ac:dyDescent="0.25">
      <c r="A29" s="12">
        <v>45658</v>
      </c>
      <c r="B29" t="s">
        <v>38</v>
      </c>
      <c r="C29" t="s">
        <v>16</v>
      </c>
      <c r="D29" t="s">
        <v>17</v>
      </c>
      <c r="E29">
        <v>39</v>
      </c>
      <c r="F29" t="s">
        <v>41</v>
      </c>
    </row>
    <row r="30" spans="1:6" x14ac:dyDescent="0.25">
      <c r="A30" s="12">
        <v>45658</v>
      </c>
      <c r="B30" t="s">
        <v>38</v>
      </c>
      <c r="C30" t="s">
        <v>12</v>
      </c>
      <c r="D30" t="s">
        <v>13</v>
      </c>
      <c r="E30">
        <v>17</v>
      </c>
      <c r="F30" t="s">
        <v>41</v>
      </c>
    </row>
    <row r="31" spans="1:6" x14ac:dyDescent="0.25">
      <c r="A31" s="12">
        <v>45658</v>
      </c>
      <c r="B31" t="s">
        <v>38</v>
      </c>
      <c r="C31" t="s">
        <v>32</v>
      </c>
      <c r="D31" t="s">
        <v>33</v>
      </c>
      <c r="E31">
        <v>24</v>
      </c>
      <c r="F31" t="s">
        <v>41</v>
      </c>
    </row>
    <row r="32" spans="1:6" x14ac:dyDescent="0.25">
      <c r="A32" s="12">
        <v>45658</v>
      </c>
      <c r="B32" t="s">
        <v>37</v>
      </c>
      <c r="C32" t="s">
        <v>18</v>
      </c>
      <c r="D32" t="s">
        <v>19</v>
      </c>
      <c r="E32">
        <v>49</v>
      </c>
      <c r="F32" t="s">
        <v>41</v>
      </c>
    </row>
    <row r="33" spans="1:6" x14ac:dyDescent="0.25">
      <c r="A33" s="12">
        <v>45658</v>
      </c>
      <c r="B33" t="s">
        <v>37</v>
      </c>
      <c r="C33" t="s">
        <v>30</v>
      </c>
      <c r="D33" t="s">
        <v>31</v>
      </c>
      <c r="E33">
        <v>25</v>
      </c>
      <c r="F33" t="s">
        <v>41</v>
      </c>
    </row>
    <row r="34" spans="1:6" x14ac:dyDescent="0.25">
      <c r="A34" s="12">
        <v>45658</v>
      </c>
      <c r="B34" t="s">
        <v>37</v>
      </c>
      <c r="C34" t="s">
        <v>20</v>
      </c>
      <c r="D34" t="s">
        <v>21</v>
      </c>
      <c r="E34">
        <v>42</v>
      </c>
      <c r="F34" t="s">
        <v>41</v>
      </c>
    </row>
    <row r="35" spans="1:6" x14ac:dyDescent="0.25">
      <c r="A35" s="12">
        <v>45658</v>
      </c>
      <c r="B35" t="s">
        <v>37</v>
      </c>
      <c r="C35" t="s">
        <v>22</v>
      </c>
      <c r="D35" t="s">
        <v>23</v>
      </c>
      <c r="E35">
        <v>34</v>
      </c>
      <c r="F35" t="s">
        <v>41</v>
      </c>
    </row>
    <row r="36" spans="1:6" x14ac:dyDescent="0.25">
      <c r="A36" s="12">
        <v>45658</v>
      </c>
      <c r="B36" t="s">
        <v>37</v>
      </c>
      <c r="C36" t="s">
        <v>26</v>
      </c>
      <c r="D36" t="s">
        <v>27</v>
      </c>
      <c r="E36">
        <v>47</v>
      </c>
      <c r="F36" t="s">
        <v>41</v>
      </c>
    </row>
    <row r="37" spans="1:6" x14ac:dyDescent="0.25">
      <c r="A37" s="12">
        <v>45658</v>
      </c>
      <c r="B37" t="s">
        <v>37</v>
      </c>
      <c r="C37" t="s">
        <v>6</v>
      </c>
      <c r="D37" t="s">
        <v>7</v>
      </c>
      <c r="E37">
        <v>22</v>
      </c>
      <c r="F37" t="s">
        <v>41</v>
      </c>
    </row>
    <row r="38" spans="1:6" x14ac:dyDescent="0.25">
      <c r="A38" s="12">
        <v>45658</v>
      </c>
      <c r="B38" t="s">
        <v>37</v>
      </c>
      <c r="C38" t="s">
        <v>24</v>
      </c>
      <c r="D38" t="s">
        <v>25</v>
      </c>
      <c r="E38">
        <v>22</v>
      </c>
      <c r="F38" t="s">
        <v>41</v>
      </c>
    </row>
    <row r="39" spans="1:6" x14ac:dyDescent="0.25">
      <c r="A39" s="12">
        <v>45658</v>
      </c>
      <c r="B39" t="s">
        <v>37</v>
      </c>
      <c r="C39" t="s">
        <v>28</v>
      </c>
      <c r="D39" t="s">
        <v>29</v>
      </c>
      <c r="E39">
        <v>45</v>
      </c>
      <c r="F39" t="s">
        <v>41</v>
      </c>
    </row>
    <row r="40" spans="1:6" x14ac:dyDescent="0.25">
      <c r="A40" s="12">
        <v>45658</v>
      </c>
      <c r="B40" t="s">
        <v>37</v>
      </c>
      <c r="C40" t="s">
        <v>14</v>
      </c>
      <c r="D40" t="s">
        <v>15</v>
      </c>
      <c r="E40">
        <v>43</v>
      </c>
      <c r="F40" t="s">
        <v>41</v>
      </c>
    </row>
    <row r="41" spans="1:6" x14ac:dyDescent="0.25">
      <c r="A41" s="12">
        <v>45658</v>
      </c>
      <c r="B41" t="s">
        <v>37</v>
      </c>
      <c r="C41" t="s">
        <v>4</v>
      </c>
      <c r="D41" t="s">
        <v>5</v>
      </c>
      <c r="E41">
        <v>21</v>
      </c>
      <c r="F41" t="s">
        <v>41</v>
      </c>
    </row>
    <row r="42" spans="1:6" x14ac:dyDescent="0.25">
      <c r="A42" s="12">
        <v>45658</v>
      </c>
      <c r="B42" t="s">
        <v>37</v>
      </c>
      <c r="C42" t="s">
        <v>8</v>
      </c>
      <c r="D42" t="s">
        <v>9</v>
      </c>
      <c r="E42">
        <v>40</v>
      </c>
      <c r="F42" t="s">
        <v>41</v>
      </c>
    </row>
    <row r="43" spans="1:6" x14ac:dyDescent="0.25">
      <c r="A43" s="12">
        <v>45658</v>
      </c>
      <c r="B43" t="s">
        <v>37</v>
      </c>
      <c r="C43" t="s">
        <v>10</v>
      </c>
      <c r="D43" t="s">
        <v>11</v>
      </c>
      <c r="E43">
        <v>46</v>
      </c>
      <c r="F43" t="s">
        <v>41</v>
      </c>
    </row>
    <row r="44" spans="1:6" x14ac:dyDescent="0.25">
      <c r="A44" s="12">
        <v>45658</v>
      </c>
      <c r="B44" t="s">
        <v>37</v>
      </c>
      <c r="C44" t="s">
        <v>16</v>
      </c>
      <c r="D44" t="s">
        <v>17</v>
      </c>
      <c r="E44">
        <v>20</v>
      </c>
      <c r="F44" t="s">
        <v>41</v>
      </c>
    </row>
    <row r="45" spans="1:6" x14ac:dyDescent="0.25">
      <c r="A45" s="12">
        <v>45658</v>
      </c>
      <c r="B45" t="s">
        <v>37</v>
      </c>
      <c r="C45" t="s">
        <v>12</v>
      </c>
      <c r="D45" t="s">
        <v>13</v>
      </c>
      <c r="E45">
        <v>9</v>
      </c>
      <c r="F45" t="s">
        <v>41</v>
      </c>
    </row>
    <row r="46" spans="1:6" x14ac:dyDescent="0.25">
      <c r="A46" s="12">
        <v>45658</v>
      </c>
      <c r="B46" t="s">
        <v>37</v>
      </c>
      <c r="C46" t="s">
        <v>32</v>
      </c>
      <c r="D46" t="s">
        <v>33</v>
      </c>
      <c r="E46">
        <v>23</v>
      </c>
      <c r="F46" t="s">
        <v>41</v>
      </c>
    </row>
    <row r="47" spans="1:6" x14ac:dyDescent="0.25">
      <c r="A47" s="12">
        <v>45658</v>
      </c>
      <c r="B47" t="s">
        <v>39</v>
      </c>
      <c r="C47" t="s">
        <v>18</v>
      </c>
      <c r="D47" t="s">
        <v>19</v>
      </c>
      <c r="E47">
        <v>26</v>
      </c>
      <c r="F47" t="s">
        <v>41</v>
      </c>
    </row>
    <row r="48" spans="1:6" x14ac:dyDescent="0.25">
      <c r="A48" s="12">
        <v>45658</v>
      </c>
      <c r="B48" t="s">
        <v>39</v>
      </c>
      <c r="C48" t="s">
        <v>30</v>
      </c>
      <c r="D48" t="s">
        <v>31</v>
      </c>
      <c r="E48">
        <v>12</v>
      </c>
      <c r="F48" t="s">
        <v>41</v>
      </c>
    </row>
    <row r="49" spans="1:6" x14ac:dyDescent="0.25">
      <c r="A49" s="12">
        <v>45658</v>
      </c>
      <c r="B49" t="s">
        <v>39</v>
      </c>
      <c r="C49" t="s">
        <v>20</v>
      </c>
      <c r="D49" t="s">
        <v>21</v>
      </c>
      <c r="E49">
        <v>48</v>
      </c>
      <c r="F49" t="s">
        <v>41</v>
      </c>
    </row>
    <row r="50" spans="1:6" x14ac:dyDescent="0.25">
      <c r="A50" s="12">
        <v>45658</v>
      </c>
      <c r="B50" t="s">
        <v>39</v>
      </c>
      <c r="C50" t="s">
        <v>22</v>
      </c>
      <c r="D50" t="s">
        <v>23</v>
      </c>
      <c r="E50">
        <v>47</v>
      </c>
      <c r="F50" t="s">
        <v>41</v>
      </c>
    </row>
    <row r="51" spans="1:6" x14ac:dyDescent="0.25">
      <c r="A51" s="12">
        <v>45658</v>
      </c>
      <c r="B51" t="s">
        <v>39</v>
      </c>
      <c r="C51" t="s">
        <v>26</v>
      </c>
      <c r="D51" t="s">
        <v>27</v>
      </c>
      <c r="E51">
        <v>44</v>
      </c>
      <c r="F51" t="s">
        <v>41</v>
      </c>
    </row>
    <row r="52" spans="1:6" x14ac:dyDescent="0.25">
      <c r="A52" s="12">
        <v>45658</v>
      </c>
      <c r="B52" t="s">
        <v>39</v>
      </c>
      <c r="C52" t="s">
        <v>6</v>
      </c>
      <c r="D52" t="s">
        <v>7</v>
      </c>
      <c r="E52">
        <v>37</v>
      </c>
      <c r="F52" t="s">
        <v>41</v>
      </c>
    </row>
    <row r="53" spans="1:6" x14ac:dyDescent="0.25">
      <c r="A53" s="12">
        <v>45658</v>
      </c>
      <c r="B53" t="s">
        <v>39</v>
      </c>
      <c r="C53" t="s">
        <v>24</v>
      </c>
      <c r="D53" t="s">
        <v>25</v>
      </c>
      <c r="E53">
        <v>31</v>
      </c>
      <c r="F53" t="s">
        <v>41</v>
      </c>
    </row>
    <row r="54" spans="1:6" x14ac:dyDescent="0.25">
      <c r="A54" s="12">
        <v>45658</v>
      </c>
      <c r="B54" t="s">
        <v>39</v>
      </c>
      <c r="C54" t="s">
        <v>28</v>
      </c>
      <c r="D54" t="s">
        <v>29</v>
      </c>
      <c r="E54">
        <v>20</v>
      </c>
      <c r="F54" t="s">
        <v>41</v>
      </c>
    </row>
    <row r="55" spans="1:6" x14ac:dyDescent="0.25">
      <c r="A55" s="12">
        <v>45658</v>
      </c>
      <c r="B55" t="s">
        <v>39</v>
      </c>
      <c r="C55" t="s">
        <v>14</v>
      </c>
      <c r="D55" t="s">
        <v>15</v>
      </c>
      <c r="E55">
        <v>13</v>
      </c>
      <c r="F55" t="s">
        <v>41</v>
      </c>
    </row>
    <row r="56" spans="1:6" x14ac:dyDescent="0.25">
      <c r="A56" s="12">
        <v>45658</v>
      </c>
      <c r="B56" t="s">
        <v>39</v>
      </c>
      <c r="C56" t="s">
        <v>4</v>
      </c>
      <c r="D56" t="s">
        <v>5</v>
      </c>
      <c r="E56">
        <v>12</v>
      </c>
      <c r="F56" t="s">
        <v>41</v>
      </c>
    </row>
    <row r="57" spans="1:6" x14ac:dyDescent="0.25">
      <c r="A57" s="12">
        <v>45658</v>
      </c>
      <c r="B57" t="s">
        <v>39</v>
      </c>
      <c r="C57" t="s">
        <v>8</v>
      </c>
      <c r="D57" t="s">
        <v>9</v>
      </c>
      <c r="E57">
        <v>42</v>
      </c>
      <c r="F57" t="s">
        <v>41</v>
      </c>
    </row>
    <row r="58" spans="1:6" x14ac:dyDescent="0.25">
      <c r="A58" s="12">
        <v>45658</v>
      </c>
      <c r="B58" t="s">
        <v>39</v>
      </c>
      <c r="C58" t="s">
        <v>10</v>
      </c>
      <c r="D58" t="s">
        <v>11</v>
      </c>
      <c r="E58">
        <v>15</v>
      </c>
      <c r="F58" t="s">
        <v>41</v>
      </c>
    </row>
    <row r="59" spans="1:6" x14ac:dyDescent="0.25">
      <c r="A59" s="12">
        <v>45658</v>
      </c>
      <c r="B59" t="s">
        <v>39</v>
      </c>
      <c r="C59" t="s">
        <v>16</v>
      </c>
      <c r="D59" t="s">
        <v>17</v>
      </c>
      <c r="E59">
        <v>60</v>
      </c>
      <c r="F59" t="s">
        <v>41</v>
      </c>
    </row>
    <row r="60" spans="1:6" x14ac:dyDescent="0.25">
      <c r="A60" s="12">
        <v>45658</v>
      </c>
      <c r="B60" t="s">
        <v>39</v>
      </c>
      <c r="C60" t="s">
        <v>12</v>
      </c>
      <c r="D60" t="s">
        <v>13</v>
      </c>
      <c r="E60">
        <v>32</v>
      </c>
      <c r="F60" t="s">
        <v>41</v>
      </c>
    </row>
    <row r="61" spans="1:6" x14ac:dyDescent="0.25">
      <c r="A61" s="12">
        <v>45658</v>
      </c>
      <c r="B61" t="s">
        <v>39</v>
      </c>
      <c r="C61" t="s">
        <v>32</v>
      </c>
      <c r="D61" t="s">
        <v>33</v>
      </c>
      <c r="E61">
        <v>10</v>
      </c>
      <c r="F61" t="s">
        <v>41</v>
      </c>
    </row>
    <row r="62" spans="1:6" x14ac:dyDescent="0.25">
      <c r="A62" s="12">
        <v>45658</v>
      </c>
      <c r="B62" t="s">
        <v>38</v>
      </c>
      <c r="C62" t="s">
        <v>4</v>
      </c>
      <c r="D62" t="s">
        <v>5</v>
      </c>
      <c r="E62">
        <v>-14</v>
      </c>
      <c r="F62" t="s">
        <v>43</v>
      </c>
    </row>
    <row r="63" spans="1:6" x14ac:dyDescent="0.25">
      <c r="A63" s="12">
        <v>45658</v>
      </c>
      <c r="B63" t="s">
        <v>38</v>
      </c>
      <c r="C63" t="s">
        <v>16</v>
      </c>
      <c r="D63" t="s">
        <v>17</v>
      </c>
      <c r="E63">
        <v>-18</v>
      </c>
      <c r="F63" t="s">
        <v>43</v>
      </c>
    </row>
    <row r="64" spans="1:6" x14ac:dyDescent="0.25">
      <c r="A64" s="12">
        <v>45661</v>
      </c>
      <c r="B64" t="s">
        <v>37</v>
      </c>
      <c r="C64" t="s">
        <v>22</v>
      </c>
      <c r="D64" t="s">
        <v>23</v>
      </c>
      <c r="E64">
        <v>8</v>
      </c>
      <c r="F64" t="s">
        <v>42</v>
      </c>
    </row>
    <row r="65" spans="1:6" x14ac:dyDescent="0.25">
      <c r="A65" s="12">
        <v>45665</v>
      </c>
      <c r="B65" t="s">
        <v>36</v>
      </c>
      <c r="C65" t="s">
        <v>24</v>
      </c>
      <c r="D65" t="s">
        <v>25</v>
      </c>
      <c r="E65">
        <v>18</v>
      </c>
      <c r="F65" t="s">
        <v>42</v>
      </c>
    </row>
    <row r="66" spans="1:6" x14ac:dyDescent="0.25">
      <c r="A66" s="12">
        <v>45670</v>
      </c>
      <c r="B66" t="s">
        <v>37</v>
      </c>
      <c r="C66" t="s">
        <v>32</v>
      </c>
      <c r="D66" t="s">
        <v>33</v>
      </c>
      <c r="E66">
        <v>-14</v>
      </c>
      <c r="F66" t="s">
        <v>43</v>
      </c>
    </row>
    <row r="67" spans="1:6" x14ac:dyDescent="0.25">
      <c r="A67" s="12">
        <v>45677</v>
      </c>
      <c r="B67" t="s">
        <v>37</v>
      </c>
      <c r="C67" t="s">
        <v>22</v>
      </c>
      <c r="D67" t="s">
        <v>23</v>
      </c>
      <c r="E67">
        <v>-9</v>
      </c>
      <c r="F67" t="s">
        <v>43</v>
      </c>
    </row>
    <row r="68" spans="1:6" x14ac:dyDescent="0.25">
      <c r="A68" s="12">
        <v>45678</v>
      </c>
      <c r="B68" t="s">
        <v>37</v>
      </c>
      <c r="C68" t="s">
        <v>22</v>
      </c>
      <c r="D68" t="s">
        <v>23</v>
      </c>
      <c r="E68">
        <v>20</v>
      </c>
      <c r="F68" t="s">
        <v>42</v>
      </c>
    </row>
    <row r="69" spans="1:6" x14ac:dyDescent="0.25">
      <c r="A69" s="12">
        <v>45679</v>
      </c>
      <c r="B69" t="s">
        <v>37</v>
      </c>
      <c r="C69" t="s">
        <v>16</v>
      </c>
      <c r="D69" t="s">
        <v>17</v>
      </c>
      <c r="E69">
        <v>5</v>
      </c>
      <c r="F69" t="s">
        <v>42</v>
      </c>
    </row>
    <row r="70" spans="1:6" x14ac:dyDescent="0.25">
      <c r="A70" s="12">
        <v>45679</v>
      </c>
      <c r="B70" t="s">
        <v>36</v>
      </c>
      <c r="C70" t="s">
        <v>28</v>
      </c>
      <c r="D70" t="s">
        <v>29</v>
      </c>
      <c r="E70">
        <v>-19</v>
      </c>
      <c r="F70" t="s">
        <v>43</v>
      </c>
    </row>
    <row r="71" spans="1:6" x14ac:dyDescent="0.25">
      <c r="A71" s="12">
        <v>45682</v>
      </c>
      <c r="B71" t="s">
        <v>39</v>
      </c>
      <c r="C71" t="s">
        <v>6</v>
      </c>
      <c r="D71" t="s">
        <v>7</v>
      </c>
      <c r="E71">
        <v>25</v>
      </c>
      <c r="F71" t="s">
        <v>42</v>
      </c>
    </row>
    <row r="72" spans="1:6" x14ac:dyDescent="0.25">
      <c r="A72" s="12">
        <v>45684</v>
      </c>
      <c r="B72" t="s">
        <v>36</v>
      </c>
      <c r="C72" t="s">
        <v>26</v>
      </c>
      <c r="D72" t="s">
        <v>27</v>
      </c>
      <c r="E72">
        <v>-18</v>
      </c>
      <c r="F72" t="s">
        <v>43</v>
      </c>
    </row>
    <row r="73" spans="1:6" x14ac:dyDescent="0.25">
      <c r="A73" s="12">
        <v>45685</v>
      </c>
      <c r="B73" t="s">
        <v>39</v>
      </c>
      <c r="C73" t="s">
        <v>30</v>
      </c>
      <c r="D73" t="s">
        <v>31</v>
      </c>
      <c r="E73">
        <v>24</v>
      </c>
      <c r="F73" t="s">
        <v>42</v>
      </c>
    </row>
    <row r="74" spans="1:6" x14ac:dyDescent="0.25">
      <c r="A74" s="12">
        <v>45686</v>
      </c>
      <c r="B74" t="s">
        <v>37</v>
      </c>
      <c r="C74" t="s">
        <v>24</v>
      </c>
      <c r="D74" t="s">
        <v>25</v>
      </c>
      <c r="E74">
        <v>11</v>
      </c>
      <c r="F74" t="s">
        <v>42</v>
      </c>
    </row>
    <row r="75" spans="1:6" x14ac:dyDescent="0.25">
      <c r="A75" s="12">
        <v>45687</v>
      </c>
      <c r="B75" t="s">
        <v>36</v>
      </c>
      <c r="C75" t="s">
        <v>26</v>
      </c>
      <c r="D75" t="s">
        <v>27</v>
      </c>
      <c r="E75">
        <v>11</v>
      </c>
      <c r="F75" t="s">
        <v>42</v>
      </c>
    </row>
    <row r="76" spans="1:6" x14ac:dyDescent="0.25">
      <c r="A76" s="12">
        <v>45688</v>
      </c>
      <c r="B76" t="s">
        <v>37</v>
      </c>
      <c r="C76" t="s">
        <v>30</v>
      </c>
      <c r="D76" t="s">
        <v>31</v>
      </c>
      <c r="E76">
        <v>13</v>
      </c>
      <c r="F76" t="s">
        <v>42</v>
      </c>
    </row>
    <row r="77" spans="1:6" x14ac:dyDescent="0.25">
      <c r="A77" s="12">
        <v>45688</v>
      </c>
      <c r="B77" t="s">
        <v>36</v>
      </c>
      <c r="C77" t="s">
        <v>26</v>
      </c>
      <c r="D77" t="s">
        <v>27</v>
      </c>
      <c r="E77">
        <v>21</v>
      </c>
      <c r="F77" t="s">
        <v>42</v>
      </c>
    </row>
    <row r="78" spans="1:6" x14ac:dyDescent="0.25">
      <c r="A78" s="12">
        <v>45690</v>
      </c>
      <c r="B78" t="s">
        <v>36</v>
      </c>
      <c r="C78" t="s">
        <v>10</v>
      </c>
      <c r="D78" t="s">
        <v>11</v>
      </c>
      <c r="E78">
        <v>8</v>
      </c>
      <c r="F78" t="s">
        <v>42</v>
      </c>
    </row>
    <row r="79" spans="1:6" x14ac:dyDescent="0.25">
      <c r="A79" s="12">
        <v>45690</v>
      </c>
      <c r="B79" t="s">
        <v>37</v>
      </c>
      <c r="C79" t="s">
        <v>26</v>
      </c>
      <c r="D79" t="s">
        <v>27</v>
      </c>
      <c r="E79">
        <v>-7</v>
      </c>
      <c r="F79" t="s">
        <v>43</v>
      </c>
    </row>
    <row r="80" spans="1:6" x14ac:dyDescent="0.25">
      <c r="A80" s="12">
        <v>45692</v>
      </c>
      <c r="B80" t="s">
        <v>37</v>
      </c>
      <c r="C80" t="s">
        <v>6</v>
      </c>
      <c r="D80" t="s">
        <v>7</v>
      </c>
      <c r="E80">
        <v>20</v>
      </c>
      <c r="F80" t="s">
        <v>42</v>
      </c>
    </row>
    <row r="81" spans="1:6" x14ac:dyDescent="0.25">
      <c r="A81" s="12">
        <v>45693</v>
      </c>
      <c r="B81" t="s">
        <v>38</v>
      </c>
      <c r="C81" t="s">
        <v>8</v>
      </c>
      <c r="D81" t="s">
        <v>9</v>
      </c>
      <c r="E81">
        <v>12</v>
      </c>
      <c r="F81" t="s">
        <v>42</v>
      </c>
    </row>
    <row r="82" spans="1:6" x14ac:dyDescent="0.25">
      <c r="A82" s="12">
        <v>45693</v>
      </c>
      <c r="B82" t="s">
        <v>37</v>
      </c>
      <c r="C82" t="s">
        <v>14</v>
      </c>
      <c r="D82" t="s">
        <v>15</v>
      </c>
      <c r="E82">
        <v>-14</v>
      </c>
      <c r="F82" t="s">
        <v>43</v>
      </c>
    </row>
    <row r="83" spans="1:6" x14ac:dyDescent="0.25">
      <c r="A83" s="12">
        <v>45695</v>
      </c>
      <c r="B83" t="s">
        <v>39</v>
      </c>
      <c r="C83" t="s">
        <v>14</v>
      </c>
      <c r="D83" t="s">
        <v>15</v>
      </c>
      <c r="E83">
        <v>25</v>
      </c>
      <c r="F83" t="s">
        <v>42</v>
      </c>
    </row>
    <row r="84" spans="1:6" x14ac:dyDescent="0.25">
      <c r="A84" s="12">
        <v>45696</v>
      </c>
      <c r="B84" t="s">
        <v>38</v>
      </c>
      <c r="C84" t="s">
        <v>18</v>
      </c>
      <c r="D84" t="s">
        <v>19</v>
      </c>
      <c r="E84">
        <v>8</v>
      </c>
      <c r="F84" t="s">
        <v>42</v>
      </c>
    </row>
    <row r="85" spans="1:6" x14ac:dyDescent="0.25">
      <c r="A85" s="12">
        <v>45696</v>
      </c>
      <c r="B85" t="s">
        <v>39</v>
      </c>
      <c r="C85" t="s">
        <v>16</v>
      </c>
      <c r="D85" t="s">
        <v>17</v>
      </c>
      <c r="E85">
        <v>-7</v>
      </c>
      <c r="F85" t="s">
        <v>43</v>
      </c>
    </row>
    <row r="86" spans="1:6" x14ac:dyDescent="0.25">
      <c r="A86" s="12">
        <v>45697</v>
      </c>
      <c r="B86" t="s">
        <v>37</v>
      </c>
      <c r="C86" t="s">
        <v>12</v>
      </c>
      <c r="D86" t="s">
        <v>13</v>
      </c>
      <c r="E86">
        <v>-15</v>
      </c>
      <c r="F86" t="s">
        <v>43</v>
      </c>
    </row>
    <row r="87" spans="1:6" x14ac:dyDescent="0.25">
      <c r="A87" s="12">
        <v>45698</v>
      </c>
      <c r="B87" t="s">
        <v>37</v>
      </c>
      <c r="C87" t="s">
        <v>28</v>
      </c>
      <c r="D87" t="s">
        <v>29</v>
      </c>
      <c r="E87">
        <v>10</v>
      </c>
      <c r="F87" t="s">
        <v>42</v>
      </c>
    </row>
    <row r="88" spans="1:6" x14ac:dyDescent="0.25">
      <c r="A88" s="12">
        <v>45699</v>
      </c>
      <c r="B88" t="s">
        <v>37</v>
      </c>
      <c r="C88" t="s">
        <v>4</v>
      </c>
      <c r="D88" t="s">
        <v>5</v>
      </c>
      <c r="E88">
        <v>17</v>
      </c>
      <c r="F88" t="s">
        <v>42</v>
      </c>
    </row>
    <row r="89" spans="1:6" x14ac:dyDescent="0.25">
      <c r="A89" s="12">
        <v>45699</v>
      </c>
      <c r="B89" t="s">
        <v>38</v>
      </c>
      <c r="C89" t="s">
        <v>32</v>
      </c>
      <c r="D89" t="s">
        <v>33</v>
      </c>
      <c r="E89">
        <v>-18</v>
      </c>
      <c r="F89" t="s">
        <v>43</v>
      </c>
    </row>
    <row r="90" spans="1:6" x14ac:dyDescent="0.25">
      <c r="A90" s="12">
        <v>45702</v>
      </c>
      <c r="B90" t="s">
        <v>38</v>
      </c>
      <c r="C90" t="s">
        <v>30</v>
      </c>
      <c r="D90" t="s">
        <v>31</v>
      </c>
      <c r="E90">
        <v>-8</v>
      </c>
      <c r="F90" t="s">
        <v>43</v>
      </c>
    </row>
    <row r="91" spans="1:6" x14ac:dyDescent="0.25">
      <c r="A91" s="12">
        <v>45708</v>
      </c>
      <c r="B91" t="s">
        <v>39</v>
      </c>
      <c r="C91" t="s">
        <v>28</v>
      </c>
      <c r="D91" t="s">
        <v>29</v>
      </c>
      <c r="E91">
        <v>18</v>
      </c>
      <c r="F91" t="s">
        <v>42</v>
      </c>
    </row>
    <row r="92" spans="1:6" x14ac:dyDescent="0.25">
      <c r="A92" s="12">
        <v>45720</v>
      </c>
      <c r="B92" t="s">
        <v>36</v>
      </c>
      <c r="C92" t="s">
        <v>20</v>
      </c>
      <c r="D92" t="s">
        <v>21</v>
      </c>
      <c r="E92">
        <v>-8</v>
      </c>
      <c r="F92" t="s">
        <v>43</v>
      </c>
    </row>
    <row r="93" spans="1:6" x14ac:dyDescent="0.25">
      <c r="A93" s="12">
        <v>45722</v>
      </c>
      <c r="B93" t="s">
        <v>36</v>
      </c>
      <c r="C93" t="s">
        <v>28</v>
      </c>
      <c r="D93" t="s">
        <v>29</v>
      </c>
      <c r="E93">
        <v>18</v>
      </c>
      <c r="F93" t="s">
        <v>42</v>
      </c>
    </row>
    <row r="94" spans="1:6" x14ac:dyDescent="0.25">
      <c r="A94" s="12">
        <v>45725</v>
      </c>
      <c r="B94" t="s">
        <v>39</v>
      </c>
      <c r="C94" t="s">
        <v>10</v>
      </c>
      <c r="D94" t="s">
        <v>11</v>
      </c>
      <c r="E94">
        <v>18</v>
      </c>
      <c r="F94" t="s">
        <v>42</v>
      </c>
    </row>
    <row r="95" spans="1:6" x14ac:dyDescent="0.25">
      <c r="A95" s="12">
        <v>45727</v>
      </c>
      <c r="B95" t="s">
        <v>36</v>
      </c>
      <c r="C95" t="s">
        <v>6</v>
      </c>
      <c r="D95" t="s">
        <v>7</v>
      </c>
      <c r="E95">
        <v>-14</v>
      </c>
      <c r="F95" t="s">
        <v>43</v>
      </c>
    </row>
    <row r="96" spans="1:6" x14ac:dyDescent="0.25">
      <c r="A96" s="12">
        <v>45728</v>
      </c>
      <c r="B96" t="s">
        <v>39</v>
      </c>
      <c r="C96" t="s">
        <v>14</v>
      </c>
      <c r="D96" t="s">
        <v>15</v>
      </c>
      <c r="E96">
        <v>8</v>
      </c>
      <c r="F96" t="s">
        <v>42</v>
      </c>
    </row>
    <row r="97" spans="1:6" x14ac:dyDescent="0.25">
      <c r="A97" s="12">
        <v>45733</v>
      </c>
      <c r="B97" t="s">
        <v>38</v>
      </c>
      <c r="C97" t="s">
        <v>10</v>
      </c>
      <c r="D97" t="s">
        <v>11</v>
      </c>
      <c r="E97">
        <v>-7</v>
      </c>
      <c r="F97" t="s">
        <v>43</v>
      </c>
    </row>
    <row r="98" spans="1:6" x14ac:dyDescent="0.25">
      <c r="A98" s="12">
        <v>45738</v>
      </c>
      <c r="B98" t="s">
        <v>37</v>
      </c>
      <c r="C98" t="s">
        <v>14</v>
      </c>
      <c r="D98" t="s">
        <v>15</v>
      </c>
      <c r="E98">
        <v>10</v>
      </c>
      <c r="F98" t="s">
        <v>42</v>
      </c>
    </row>
    <row r="99" spans="1:6" x14ac:dyDescent="0.25">
      <c r="A99" s="12">
        <v>45739</v>
      </c>
      <c r="B99" t="s">
        <v>36</v>
      </c>
      <c r="C99" t="s">
        <v>8</v>
      </c>
      <c r="D99" t="s">
        <v>9</v>
      </c>
      <c r="E99">
        <v>21</v>
      </c>
      <c r="F99" t="s">
        <v>42</v>
      </c>
    </row>
    <row r="100" spans="1:6" x14ac:dyDescent="0.25">
      <c r="A100" s="12">
        <v>45740</v>
      </c>
      <c r="B100" t="s">
        <v>37</v>
      </c>
      <c r="C100" t="s">
        <v>8</v>
      </c>
      <c r="D100" t="s">
        <v>9</v>
      </c>
      <c r="E100">
        <v>12</v>
      </c>
      <c r="F100" t="s">
        <v>42</v>
      </c>
    </row>
    <row r="101" spans="1:6" x14ac:dyDescent="0.25">
      <c r="A101" s="12">
        <v>45740</v>
      </c>
      <c r="B101" t="s">
        <v>37</v>
      </c>
      <c r="C101" t="s">
        <v>24</v>
      </c>
      <c r="D101" t="s">
        <v>25</v>
      </c>
      <c r="E101">
        <v>9</v>
      </c>
      <c r="F101" t="s">
        <v>42</v>
      </c>
    </row>
    <row r="102" spans="1:6" x14ac:dyDescent="0.25">
      <c r="A102" s="12">
        <v>45741</v>
      </c>
      <c r="B102" t="s">
        <v>37</v>
      </c>
      <c r="C102" t="s">
        <v>32</v>
      </c>
      <c r="D102" t="s">
        <v>33</v>
      </c>
      <c r="E102">
        <v>-8</v>
      </c>
      <c r="F102" t="s">
        <v>43</v>
      </c>
    </row>
    <row r="103" spans="1:6" x14ac:dyDescent="0.25">
      <c r="A103" s="12">
        <v>45742</v>
      </c>
      <c r="B103" t="s">
        <v>38</v>
      </c>
      <c r="C103" t="s">
        <v>24</v>
      </c>
      <c r="D103" t="s">
        <v>25</v>
      </c>
      <c r="E103">
        <v>-13</v>
      </c>
      <c r="F103" t="s">
        <v>43</v>
      </c>
    </row>
    <row r="104" spans="1:6" x14ac:dyDescent="0.25">
      <c r="A104" s="12">
        <v>45743</v>
      </c>
      <c r="B104" t="s">
        <v>38</v>
      </c>
      <c r="C104" t="s">
        <v>28</v>
      </c>
      <c r="D104" t="s">
        <v>29</v>
      </c>
      <c r="E104">
        <v>-12</v>
      </c>
      <c r="F104" t="s">
        <v>43</v>
      </c>
    </row>
    <row r="105" spans="1:6" x14ac:dyDescent="0.25">
      <c r="A105" s="12">
        <v>45744</v>
      </c>
      <c r="B105" t="s">
        <v>37</v>
      </c>
      <c r="C105" t="s">
        <v>20</v>
      </c>
      <c r="D105" t="s">
        <v>21</v>
      </c>
      <c r="E105">
        <v>-16</v>
      </c>
      <c r="F105" t="s">
        <v>43</v>
      </c>
    </row>
    <row r="106" spans="1:6" x14ac:dyDescent="0.25">
      <c r="A106" s="12">
        <v>45745</v>
      </c>
      <c r="B106" t="s">
        <v>36</v>
      </c>
      <c r="C106" t="s">
        <v>22</v>
      </c>
      <c r="D106" t="s">
        <v>23</v>
      </c>
      <c r="E106">
        <v>21</v>
      </c>
      <c r="F106" t="s">
        <v>42</v>
      </c>
    </row>
    <row r="107" spans="1:6" x14ac:dyDescent="0.25">
      <c r="A107" s="12">
        <v>45751</v>
      </c>
      <c r="B107" t="s">
        <v>39</v>
      </c>
      <c r="C107" t="s">
        <v>8</v>
      </c>
      <c r="D107" t="s">
        <v>9</v>
      </c>
      <c r="E107">
        <v>14</v>
      </c>
      <c r="F107" t="s">
        <v>42</v>
      </c>
    </row>
    <row r="108" spans="1:6" x14ac:dyDescent="0.25">
      <c r="A108" s="12">
        <v>45755</v>
      </c>
      <c r="B108" t="s">
        <v>36</v>
      </c>
      <c r="C108" t="s">
        <v>10</v>
      </c>
      <c r="D108" t="s">
        <v>11</v>
      </c>
      <c r="E108">
        <v>7</v>
      </c>
      <c r="F108" t="s">
        <v>42</v>
      </c>
    </row>
    <row r="109" spans="1:6" x14ac:dyDescent="0.25">
      <c r="A109" s="12">
        <v>45755</v>
      </c>
      <c r="B109" t="s">
        <v>36</v>
      </c>
      <c r="C109" t="s">
        <v>16</v>
      </c>
      <c r="D109" t="s">
        <v>17</v>
      </c>
      <c r="E109">
        <v>-19</v>
      </c>
      <c r="F109" t="s">
        <v>43</v>
      </c>
    </row>
    <row r="110" spans="1:6" x14ac:dyDescent="0.25">
      <c r="A110" s="12">
        <v>45762</v>
      </c>
      <c r="B110" t="s">
        <v>37</v>
      </c>
      <c r="C110" t="s">
        <v>26</v>
      </c>
      <c r="D110" t="s">
        <v>27</v>
      </c>
      <c r="E110">
        <v>11</v>
      </c>
      <c r="F110" t="s">
        <v>42</v>
      </c>
    </row>
    <row r="111" spans="1:6" x14ac:dyDescent="0.25">
      <c r="A111" s="12">
        <v>45762</v>
      </c>
      <c r="B111" t="s">
        <v>38</v>
      </c>
      <c r="C111" t="s">
        <v>32</v>
      </c>
      <c r="D111" t="s">
        <v>33</v>
      </c>
      <c r="E111">
        <v>9</v>
      </c>
      <c r="F111" t="s">
        <v>42</v>
      </c>
    </row>
    <row r="112" spans="1:6" x14ac:dyDescent="0.25">
      <c r="A112" s="12">
        <v>45763</v>
      </c>
      <c r="B112" t="s">
        <v>39</v>
      </c>
      <c r="C112" t="s">
        <v>16</v>
      </c>
      <c r="D112" t="s">
        <v>17</v>
      </c>
      <c r="E112">
        <v>-2</v>
      </c>
      <c r="F112" t="s">
        <v>43</v>
      </c>
    </row>
    <row r="113" spans="1:6" x14ac:dyDescent="0.25">
      <c r="A113" s="12">
        <v>45765</v>
      </c>
      <c r="B113" t="s">
        <v>37</v>
      </c>
      <c r="C113" t="s">
        <v>14</v>
      </c>
      <c r="D113" t="s">
        <v>15</v>
      </c>
      <c r="E113">
        <v>12</v>
      </c>
      <c r="F113" t="s">
        <v>42</v>
      </c>
    </row>
    <row r="114" spans="1:6" x14ac:dyDescent="0.25">
      <c r="A114" s="12">
        <v>45766</v>
      </c>
      <c r="B114" t="s">
        <v>39</v>
      </c>
      <c r="C114" t="s">
        <v>12</v>
      </c>
      <c r="D114" t="s">
        <v>13</v>
      </c>
      <c r="E114">
        <v>3</v>
      </c>
      <c r="F114" t="s">
        <v>42</v>
      </c>
    </row>
    <row r="115" spans="1:6" x14ac:dyDescent="0.25">
      <c r="A115" s="12">
        <v>45767</v>
      </c>
      <c r="B115" t="s">
        <v>36</v>
      </c>
      <c r="C115" t="s">
        <v>6</v>
      </c>
      <c r="D115" t="s">
        <v>7</v>
      </c>
      <c r="E115">
        <v>18</v>
      </c>
      <c r="F115" t="s">
        <v>42</v>
      </c>
    </row>
    <row r="116" spans="1:6" x14ac:dyDescent="0.25">
      <c r="A116" s="12">
        <v>45772</v>
      </c>
      <c r="B116" t="s">
        <v>38</v>
      </c>
      <c r="C116" t="s">
        <v>30</v>
      </c>
      <c r="D116" t="s">
        <v>31</v>
      </c>
      <c r="E116">
        <v>-8</v>
      </c>
      <c r="F116" t="s">
        <v>43</v>
      </c>
    </row>
    <row r="117" spans="1:6" x14ac:dyDescent="0.25">
      <c r="A117" s="12">
        <v>45779</v>
      </c>
      <c r="B117" t="s">
        <v>36</v>
      </c>
      <c r="C117" t="s">
        <v>32</v>
      </c>
      <c r="D117" t="s">
        <v>33</v>
      </c>
      <c r="E117">
        <v>25</v>
      </c>
      <c r="F117" t="s">
        <v>42</v>
      </c>
    </row>
    <row r="118" spans="1:6" x14ac:dyDescent="0.25">
      <c r="A118" s="12">
        <v>45782</v>
      </c>
      <c r="B118" t="s">
        <v>38</v>
      </c>
      <c r="C118" t="s">
        <v>32</v>
      </c>
      <c r="D118" t="s">
        <v>33</v>
      </c>
      <c r="E118">
        <v>-15</v>
      </c>
      <c r="F118" t="s">
        <v>43</v>
      </c>
    </row>
    <row r="119" spans="1:6" x14ac:dyDescent="0.25">
      <c r="A119" s="12">
        <v>45784</v>
      </c>
      <c r="B119" t="s">
        <v>37</v>
      </c>
      <c r="C119" t="s">
        <v>12</v>
      </c>
      <c r="D119" t="s">
        <v>13</v>
      </c>
      <c r="E119">
        <v>5</v>
      </c>
      <c r="F119" t="s">
        <v>42</v>
      </c>
    </row>
    <row r="120" spans="1:6" x14ac:dyDescent="0.25">
      <c r="A120" s="12">
        <v>45784</v>
      </c>
      <c r="B120" t="s">
        <v>36</v>
      </c>
      <c r="C120" t="s">
        <v>28</v>
      </c>
      <c r="D120" t="s">
        <v>29</v>
      </c>
      <c r="E120">
        <v>-1</v>
      </c>
      <c r="F120" t="s">
        <v>43</v>
      </c>
    </row>
    <row r="121" spans="1:6" x14ac:dyDescent="0.25">
      <c r="A121" s="12">
        <v>45786</v>
      </c>
      <c r="B121" t="s">
        <v>38</v>
      </c>
      <c r="C121" t="s">
        <v>20</v>
      </c>
      <c r="D121" t="s">
        <v>21</v>
      </c>
      <c r="E121">
        <v>16</v>
      </c>
      <c r="F121" t="s">
        <v>42</v>
      </c>
    </row>
    <row r="122" spans="1:6" x14ac:dyDescent="0.25">
      <c r="A122" s="12">
        <v>45791</v>
      </c>
      <c r="B122" t="s">
        <v>38</v>
      </c>
      <c r="C122" t="s">
        <v>4</v>
      </c>
      <c r="D122" t="s">
        <v>5</v>
      </c>
      <c r="E122">
        <v>-4</v>
      </c>
      <c r="F122" t="s">
        <v>43</v>
      </c>
    </row>
    <row r="123" spans="1:6" x14ac:dyDescent="0.25">
      <c r="A123" s="12">
        <v>45791</v>
      </c>
      <c r="B123" t="s">
        <v>39</v>
      </c>
      <c r="C123" t="s">
        <v>8</v>
      </c>
      <c r="D123" t="s">
        <v>9</v>
      </c>
      <c r="E123">
        <v>-2</v>
      </c>
      <c r="F123" t="s">
        <v>43</v>
      </c>
    </row>
    <row r="124" spans="1:6" x14ac:dyDescent="0.25">
      <c r="A124" s="12">
        <v>45792</v>
      </c>
      <c r="B124" t="s">
        <v>37</v>
      </c>
      <c r="C124" t="s">
        <v>18</v>
      </c>
      <c r="D124" t="s">
        <v>19</v>
      </c>
      <c r="E124">
        <v>1</v>
      </c>
      <c r="F124" t="s">
        <v>42</v>
      </c>
    </row>
    <row r="125" spans="1:6" x14ac:dyDescent="0.25">
      <c r="A125" s="12">
        <v>45793</v>
      </c>
      <c r="B125" t="s">
        <v>36</v>
      </c>
      <c r="C125" t="s">
        <v>32</v>
      </c>
      <c r="D125" t="s">
        <v>33</v>
      </c>
      <c r="E125">
        <v>5</v>
      </c>
      <c r="F125" t="s">
        <v>42</v>
      </c>
    </row>
    <row r="126" spans="1:6" x14ac:dyDescent="0.25">
      <c r="A126" s="12">
        <v>45794</v>
      </c>
      <c r="B126" t="s">
        <v>36</v>
      </c>
      <c r="C126" t="s">
        <v>24</v>
      </c>
      <c r="D126" t="s">
        <v>25</v>
      </c>
      <c r="E126">
        <v>18</v>
      </c>
      <c r="F126" t="s">
        <v>42</v>
      </c>
    </row>
    <row r="127" spans="1:6" x14ac:dyDescent="0.25">
      <c r="A127" s="12">
        <v>45795</v>
      </c>
      <c r="B127" t="s">
        <v>39</v>
      </c>
      <c r="C127" t="s">
        <v>16</v>
      </c>
      <c r="D127" t="s">
        <v>17</v>
      </c>
      <c r="E127">
        <v>-19</v>
      </c>
      <c r="F127" t="s">
        <v>43</v>
      </c>
    </row>
    <row r="128" spans="1:6" x14ac:dyDescent="0.25">
      <c r="A128" s="12">
        <v>45797</v>
      </c>
      <c r="B128" t="s">
        <v>37</v>
      </c>
      <c r="C128" t="s">
        <v>18</v>
      </c>
      <c r="D128" t="s">
        <v>19</v>
      </c>
      <c r="E128">
        <v>-8</v>
      </c>
      <c r="F128" t="s">
        <v>43</v>
      </c>
    </row>
    <row r="129" spans="1:6" x14ac:dyDescent="0.25">
      <c r="A129" s="12">
        <v>45800</v>
      </c>
      <c r="B129" t="s">
        <v>36</v>
      </c>
      <c r="C129" t="s">
        <v>20</v>
      </c>
      <c r="D129" t="s">
        <v>21</v>
      </c>
      <c r="E129">
        <v>8</v>
      </c>
      <c r="F129" t="s">
        <v>42</v>
      </c>
    </row>
    <row r="130" spans="1:6" x14ac:dyDescent="0.25">
      <c r="A130" s="12">
        <v>45800</v>
      </c>
      <c r="B130" t="s">
        <v>38</v>
      </c>
      <c r="C130" t="s">
        <v>14</v>
      </c>
      <c r="D130" t="s">
        <v>15</v>
      </c>
      <c r="E130">
        <v>-13</v>
      </c>
      <c r="F130" t="s">
        <v>43</v>
      </c>
    </row>
    <row r="131" spans="1:6" x14ac:dyDescent="0.25">
      <c r="A131" s="12">
        <v>45800</v>
      </c>
      <c r="B131" t="s">
        <v>38</v>
      </c>
      <c r="C131" t="s">
        <v>12</v>
      </c>
      <c r="D131" t="s">
        <v>13</v>
      </c>
      <c r="E131">
        <v>-3</v>
      </c>
      <c r="F131" t="s">
        <v>43</v>
      </c>
    </row>
    <row r="132" spans="1:6" x14ac:dyDescent="0.25">
      <c r="A132" s="12">
        <v>45804</v>
      </c>
      <c r="B132" t="s">
        <v>38</v>
      </c>
      <c r="C132" t="s">
        <v>32</v>
      </c>
      <c r="D132" t="s">
        <v>33</v>
      </c>
      <c r="E132">
        <v>15</v>
      </c>
      <c r="F132" t="s">
        <v>42</v>
      </c>
    </row>
    <row r="133" spans="1:6" x14ac:dyDescent="0.25">
      <c r="A133" s="12">
        <v>45809</v>
      </c>
      <c r="B133" t="s">
        <v>39</v>
      </c>
      <c r="C133" t="s">
        <v>8</v>
      </c>
      <c r="D133" t="s">
        <v>9</v>
      </c>
      <c r="E133">
        <v>7</v>
      </c>
      <c r="F133" t="s">
        <v>42</v>
      </c>
    </row>
    <row r="134" spans="1:6" x14ac:dyDescent="0.25">
      <c r="A134" s="12">
        <v>45810</v>
      </c>
      <c r="B134" t="s">
        <v>39</v>
      </c>
      <c r="C134" t="s">
        <v>4</v>
      </c>
      <c r="D134" t="s">
        <v>5</v>
      </c>
      <c r="E134">
        <v>-12</v>
      </c>
      <c r="F134" t="s">
        <v>43</v>
      </c>
    </row>
    <row r="135" spans="1:6" x14ac:dyDescent="0.25">
      <c r="A135" s="12">
        <v>45811</v>
      </c>
      <c r="B135" t="s">
        <v>36</v>
      </c>
      <c r="C135" t="s">
        <v>24</v>
      </c>
      <c r="D135" t="s">
        <v>25</v>
      </c>
      <c r="E135">
        <v>18</v>
      </c>
      <c r="F135" t="s">
        <v>42</v>
      </c>
    </row>
    <row r="136" spans="1:6" x14ac:dyDescent="0.25">
      <c r="A136" s="12">
        <v>45811</v>
      </c>
      <c r="B136" t="s">
        <v>37</v>
      </c>
      <c r="C136" t="s">
        <v>24</v>
      </c>
      <c r="D136" t="s">
        <v>25</v>
      </c>
      <c r="E136">
        <v>21</v>
      </c>
      <c r="F136" t="s">
        <v>42</v>
      </c>
    </row>
    <row r="137" spans="1:6" x14ac:dyDescent="0.25">
      <c r="A137" s="12">
        <v>45815</v>
      </c>
      <c r="B137" t="s">
        <v>36</v>
      </c>
      <c r="C137" t="s">
        <v>6</v>
      </c>
      <c r="D137" t="s">
        <v>7</v>
      </c>
      <c r="E137">
        <v>12</v>
      </c>
      <c r="F137" t="s">
        <v>42</v>
      </c>
    </row>
    <row r="138" spans="1:6" x14ac:dyDescent="0.25">
      <c r="A138" s="12">
        <v>45817</v>
      </c>
      <c r="B138" t="s">
        <v>36</v>
      </c>
      <c r="C138" t="s">
        <v>22</v>
      </c>
      <c r="D138" t="s">
        <v>23</v>
      </c>
      <c r="E138">
        <v>-1</v>
      </c>
      <c r="F138" t="s">
        <v>43</v>
      </c>
    </row>
    <row r="139" spans="1:6" x14ac:dyDescent="0.25">
      <c r="A139" s="12">
        <v>45817</v>
      </c>
      <c r="B139" t="s">
        <v>36</v>
      </c>
      <c r="C139" t="s">
        <v>28</v>
      </c>
      <c r="D139" t="s">
        <v>29</v>
      </c>
      <c r="E139">
        <v>-6</v>
      </c>
      <c r="F139" t="s">
        <v>43</v>
      </c>
    </row>
    <row r="140" spans="1:6" x14ac:dyDescent="0.25">
      <c r="A140" s="12">
        <v>45819</v>
      </c>
      <c r="B140" t="s">
        <v>37</v>
      </c>
      <c r="C140" t="s">
        <v>30</v>
      </c>
      <c r="D140" t="s">
        <v>31</v>
      </c>
      <c r="E140">
        <v>2</v>
      </c>
      <c r="F140" t="s">
        <v>42</v>
      </c>
    </row>
    <row r="141" spans="1:6" x14ac:dyDescent="0.25">
      <c r="A141" s="12">
        <v>45825</v>
      </c>
      <c r="B141" t="s">
        <v>38</v>
      </c>
      <c r="C141" t="s">
        <v>24</v>
      </c>
      <c r="D141" t="s">
        <v>25</v>
      </c>
      <c r="E141">
        <v>-14</v>
      </c>
      <c r="F141" t="s">
        <v>43</v>
      </c>
    </row>
    <row r="142" spans="1:6" x14ac:dyDescent="0.25">
      <c r="A142" s="12">
        <v>45827</v>
      </c>
      <c r="B142" t="s">
        <v>37</v>
      </c>
      <c r="C142" t="s">
        <v>6</v>
      </c>
      <c r="D142" t="s">
        <v>7</v>
      </c>
      <c r="E142">
        <v>2</v>
      </c>
      <c r="F142" t="s">
        <v>42</v>
      </c>
    </row>
    <row r="143" spans="1:6" x14ac:dyDescent="0.25">
      <c r="A143" s="12">
        <v>45828</v>
      </c>
      <c r="B143" t="s">
        <v>38</v>
      </c>
      <c r="C143" t="s">
        <v>4</v>
      </c>
      <c r="D143" t="s">
        <v>5</v>
      </c>
      <c r="E143">
        <v>1</v>
      </c>
      <c r="F143" t="s">
        <v>42</v>
      </c>
    </row>
    <row r="144" spans="1:6" x14ac:dyDescent="0.25">
      <c r="A144" s="12">
        <v>45829</v>
      </c>
      <c r="B144" t="s">
        <v>38</v>
      </c>
      <c r="C144" t="s">
        <v>10</v>
      </c>
      <c r="D144" t="s">
        <v>11</v>
      </c>
      <c r="E144">
        <v>-9</v>
      </c>
      <c r="F144" t="s">
        <v>43</v>
      </c>
    </row>
    <row r="145" spans="1:6" x14ac:dyDescent="0.25">
      <c r="A145" s="12">
        <v>45831</v>
      </c>
      <c r="B145" t="s">
        <v>36</v>
      </c>
      <c r="C145" t="s">
        <v>4</v>
      </c>
      <c r="D145" t="s">
        <v>5</v>
      </c>
      <c r="E145">
        <v>13</v>
      </c>
      <c r="F145" t="s">
        <v>42</v>
      </c>
    </row>
    <row r="146" spans="1:6" x14ac:dyDescent="0.25">
      <c r="A146" s="12">
        <v>45834</v>
      </c>
      <c r="B146" t="s">
        <v>36</v>
      </c>
      <c r="C146" t="s">
        <v>22</v>
      </c>
      <c r="D146" t="s">
        <v>23</v>
      </c>
      <c r="E146">
        <v>-14</v>
      </c>
      <c r="F146" t="s">
        <v>43</v>
      </c>
    </row>
    <row r="147" spans="1:6" x14ac:dyDescent="0.25">
      <c r="A147" s="12">
        <v>45837</v>
      </c>
      <c r="B147" t="s">
        <v>37</v>
      </c>
      <c r="C147" t="s">
        <v>10</v>
      </c>
      <c r="D147" t="s">
        <v>11</v>
      </c>
      <c r="E147">
        <v>-15</v>
      </c>
      <c r="F147" t="s">
        <v>43</v>
      </c>
    </row>
    <row r="148" spans="1:6" x14ac:dyDescent="0.25">
      <c r="A148" s="12">
        <v>45841</v>
      </c>
      <c r="B148" t="s">
        <v>38</v>
      </c>
      <c r="C148" t="s">
        <v>14</v>
      </c>
      <c r="D148" t="s">
        <v>15</v>
      </c>
      <c r="E148">
        <v>2</v>
      </c>
      <c r="F148" t="s">
        <v>42</v>
      </c>
    </row>
    <row r="149" spans="1:6" x14ac:dyDescent="0.25">
      <c r="A149" s="12">
        <v>45844</v>
      </c>
      <c r="B149" t="s">
        <v>38</v>
      </c>
      <c r="C149" t="s">
        <v>18</v>
      </c>
      <c r="D149" t="s">
        <v>19</v>
      </c>
      <c r="E149">
        <v>21</v>
      </c>
      <c r="F149" t="s">
        <v>42</v>
      </c>
    </row>
    <row r="150" spans="1:6" x14ac:dyDescent="0.25">
      <c r="A150" s="12">
        <v>45847</v>
      </c>
      <c r="B150" t="s">
        <v>37</v>
      </c>
      <c r="C150" t="s">
        <v>20</v>
      </c>
      <c r="D150" t="s">
        <v>21</v>
      </c>
      <c r="E150">
        <v>2</v>
      </c>
      <c r="F150" t="s">
        <v>42</v>
      </c>
    </row>
    <row r="151" spans="1:6" x14ac:dyDescent="0.25">
      <c r="A151" s="12">
        <v>45852</v>
      </c>
      <c r="B151" t="s">
        <v>37</v>
      </c>
      <c r="C151" t="s">
        <v>30</v>
      </c>
      <c r="D151" t="s">
        <v>31</v>
      </c>
      <c r="E151">
        <v>4</v>
      </c>
      <c r="F151" t="s">
        <v>42</v>
      </c>
    </row>
    <row r="152" spans="1:6" x14ac:dyDescent="0.25">
      <c r="A152" s="12">
        <v>45852</v>
      </c>
      <c r="B152" t="s">
        <v>37</v>
      </c>
      <c r="C152" t="s">
        <v>8</v>
      </c>
      <c r="D152" t="s">
        <v>9</v>
      </c>
      <c r="E152">
        <v>15</v>
      </c>
      <c r="F152" t="s">
        <v>42</v>
      </c>
    </row>
    <row r="153" spans="1:6" x14ac:dyDescent="0.25">
      <c r="A153" s="12">
        <v>45852</v>
      </c>
      <c r="B153" t="s">
        <v>36</v>
      </c>
      <c r="C153" t="s">
        <v>30</v>
      </c>
      <c r="D153" t="s">
        <v>31</v>
      </c>
      <c r="E153">
        <v>-19</v>
      </c>
      <c r="F153" t="s">
        <v>43</v>
      </c>
    </row>
    <row r="154" spans="1:6" x14ac:dyDescent="0.25">
      <c r="A154" s="12">
        <v>45854</v>
      </c>
      <c r="B154" t="s">
        <v>37</v>
      </c>
      <c r="C154" t="s">
        <v>8</v>
      </c>
      <c r="D154" t="s">
        <v>9</v>
      </c>
      <c r="E154">
        <v>-8</v>
      </c>
      <c r="F154" t="s">
        <v>43</v>
      </c>
    </row>
    <row r="155" spans="1:6" x14ac:dyDescent="0.25">
      <c r="A155" s="12">
        <v>45855</v>
      </c>
      <c r="B155" t="s">
        <v>39</v>
      </c>
      <c r="C155" t="s">
        <v>22</v>
      </c>
      <c r="D155" t="s">
        <v>23</v>
      </c>
      <c r="E155">
        <v>3</v>
      </c>
      <c r="F155" t="s">
        <v>42</v>
      </c>
    </row>
    <row r="156" spans="1:6" x14ac:dyDescent="0.25">
      <c r="A156" s="12">
        <v>45857</v>
      </c>
      <c r="B156" t="s">
        <v>37</v>
      </c>
      <c r="C156" t="s">
        <v>16</v>
      </c>
      <c r="D156" t="s">
        <v>17</v>
      </c>
      <c r="E156">
        <v>1</v>
      </c>
      <c r="F156" t="s">
        <v>42</v>
      </c>
    </row>
    <row r="157" spans="1:6" x14ac:dyDescent="0.25">
      <c r="A157" s="12">
        <v>45857</v>
      </c>
      <c r="B157" t="s">
        <v>39</v>
      </c>
      <c r="C157" t="s">
        <v>18</v>
      </c>
      <c r="D157" t="s">
        <v>19</v>
      </c>
      <c r="E157">
        <v>-1</v>
      </c>
      <c r="F157" t="s">
        <v>43</v>
      </c>
    </row>
    <row r="158" spans="1:6" x14ac:dyDescent="0.25">
      <c r="A158" s="12">
        <v>45860</v>
      </c>
      <c r="B158" t="s">
        <v>38</v>
      </c>
      <c r="C158" t="s">
        <v>10</v>
      </c>
      <c r="D158" t="s">
        <v>11</v>
      </c>
      <c r="E158">
        <v>9</v>
      </c>
      <c r="F158" t="s">
        <v>42</v>
      </c>
    </row>
    <row r="159" spans="1:6" x14ac:dyDescent="0.25">
      <c r="A159" s="12">
        <v>45862</v>
      </c>
      <c r="B159" t="s">
        <v>37</v>
      </c>
      <c r="C159" t="s">
        <v>26</v>
      </c>
      <c r="D159" t="s">
        <v>27</v>
      </c>
      <c r="E159">
        <v>10</v>
      </c>
      <c r="F159" t="s">
        <v>42</v>
      </c>
    </row>
    <row r="160" spans="1:6" x14ac:dyDescent="0.25">
      <c r="A160" s="12">
        <v>45862</v>
      </c>
      <c r="B160" t="s">
        <v>36</v>
      </c>
      <c r="C160" t="s">
        <v>24</v>
      </c>
      <c r="D160" t="s">
        <v>25</v>
      </c>
      <c r="E160">
        <v>-7</v>
      </c>
      <c r="F160" t="s">
        <v>43</v>
      </c>
    </row>
    <row r="161" spans="1:6" x14ac:dyDescent="0.25">
      <c r="A161" s="12">
        <v>45862</v>
      </c>
      <c r="B161" t="s">
        <v>38</v>
      </c>
      <c r="C161" t="s">
        <v>24</v>
      </c>
      <c r="D161" t="s">
        <v>25</v>
      </c>
      <c r="E161">
        <v>-17</v>
      </c>
      <c r="F161" t="s">
        <v>43</v>
      </c>
    </row>
    <row r="162" spans="1:6" x14ac:dyDescent="0.25">
      <c r="A162" s="12">
        <v>45866</v>
      </c>
      <c r="B162" t="s">
        <v>39</v>
      </c>
      <c r="C162" t="s">
        <v>10</v>
      </c>
      <c r="D162" t="s">
        <v>11</v>
      </c>
      <c r="E162">
        <v>16</v>
      </c>
      <c r="F162" t="s">
        <v>42</v>
      </c>
    </row>
    <row r="163" spans="1:6" x14ac:dyDescent="0.25">
      <c r="A163" s="12">
        <v>45866</v>
      </c>
      <c r="B163" t="s">
        <v>36</v>
      </c>
      <c r="C163" t="s">
        <v>14</v>
      </c>
      <c r="D163" t="s">
        <v>15</v>
      </c>
      <c r="E163">
        <v>-18</v>
      </c>
      <c r="F163" t="s">
        <v>43</v>
      </c>
    </row>
    <row r="164" spans="1:6" x14ac:dyDescent="0.25">
      <c r="A164" s="12">
        <v>45868</v>
      </c>
      <c r="B164" t="s">
        <v>39</v>
      </c>
      <c r="C164" t="s">
        <v>14</v>
      </c>
      <c r="D164" t="s">
        <v>15</v>
      </c>
      <c r="E164">
        <v>14</v>
      </c>
      <c r="F164" t="s">
        <v>42</v>
      </c>
    </row>
    <row r="165" spans="1:6" x14ac:dyDescent="0.25">
      <c r="A165" s="12">
        <v>45868</v>
      </c>
      <c r="B165" t="s">
        <v>37</v>
      </c>
      <c r="C165" t="s">
        <v>26</v>
      </c>
      <c r="D165" t="s">
        <v>27</v>
      </c>
      <c r="E165">
        <v>-11</v>
      </c>
      <c r="F165" t="s">
        <v>43</v>
      </c>
    </row>
    <row r="166" spans="1:6" x14ac:dyDescent="0.25">
      <c r="A166" s="12">
        <v>45874</v>
      </c>
      <c r="B166" t="s">
        <v>36</v>
      </c>
      <c r="C166" t="s">
        <v>6</v>
      </c>
      <c r="D166" t="s">
        <v>7</v>
      </c>
      <c r="E166">
        <v>21</v>
      </c>
      <c r="F166" t="s">
        <v>42</v>
      </c>
    </row>
    <row r="167" spans="1:6" x14ac:dyDescent="0.25">
      <c r="A167" s="12">
        <v>45875</v>
      </c>
      <c r="B167" t="s">
        <v>36</v>
      </c>
      <c r="C167" t="s">
        <v>32</v>
      </c>
      <c r="D167" t="s">
        <v>33</v>
      </c>
      <c r="E167">
        <v>-4</v>
      </c>
      <c r="F167" t="s">
        <v>43</v>
      </c>
    </row>
    <row r="168" spans="1:6" x14ac:dyDescent="0.25">
      <c r="A168" s="12">
        <v>45876</v>
      </c>
      <c r="B168" t="s">
        <v>39</v>
      </c>
      <c r="C168" t="s">
        <v>20</v>
      </c>
      <c r="D168" t="s">
        <v>21</v>
      </c>
      <c r="E168">
        <v>23</v>
      </c>
      <c r="F168" t="s">
        <v>42</v>
      </c>
    </row>
    <row r="169" spans="1:6" x14ac:dyDescent="0.25">
      <c r="A169" s="12">
        <v>45877</v>
      </c>
      <c r="B169" t="s">
        <v>38</v>
      </c>
      <c r="C169" t="s">
        <v>26</v>
      </c>
      <c r="D169" t="s">
        <v>27</v>
      </c>
      <c r="E169">
        <v>19</v>
      </c>
      <c r="F169" t="s">
        <v>42</v>
      </c>
    </row>
    <row r="170" spans="1:6" x14ac:dyDescent="0.25">
      <c r="A170" s="12">
        <v>45878</v>
      </c>
      <c r="B170" t="s">
        <v>38</v>
      </c>
      <c r="C170" t="s">
        <v>12</v>
      </c>
      <c r="D170" t="s">
        <v>13</v>
      </c>
      <c r="E170">
        <v>-7</v>
      </c>
      <c r="F170" t="s">
        <v>43</v>
      </c>
    </row>
    <row r="171" spans="1:6" x14ac:dyDescent="0.25">
      <c r="A171" s="12">
        <v>45880</v>
      </c>
      <c r="B171" t="s">
        <v>38</v>
      </c>
      <c r="C171" t="s">
        <v>6</v>
      </c>
      <c r="D171" t="s">
        <v>7</v>
      </c>
      <c r="E171">
        <v>10</v>
      </c>
      <c r="F171" t="s">
        <v>42</v>
      </c>
    </row>
    <row r="172" spans="1:6" x14ac:dyDescent="0.25">
      <c r="A172" s="12">
        <v>45880</v>
      </c>
      <c r="B172" t="s">
        <v>39</v>
      </c>
      <c r="C172" t="s">
        <v>26</v>
      </c>
      <c r="D172" t="s">
        <v>27</v>
      </c>
      <c r="E172">
        <v>-5</v>
      </c>
      <c r="F172" t="s">
        <v>43</v>
      </c>
    </row>
    <row r="173" spans="1:6" x14ac:dyDescent="0.25">
      <c r="A173" s="12">
        <v>45884</v>
      </c>
      <c r="B173" t="s">
        <v>38</v>
      </c>
      <c r="C173" t="s">
        <v>18</v>
      </c>
      <c r="D173" t="s">
        <v>19</v>
      </c>
      <c r="E173">
        <v>-15</v>
      </c>
      <c r="F173" t="s">
        <v>43</v>
      </c>
    </row>
    <row r="174" spans="1:6" x14ac:dyDescent="0.25">
      <c r="A174" s="12">
        <v>45886</v>
      </c>
      <c r="B174" t="s">
        <v>39</v>
      </c>
      <c r="C174" t="s">
        <v>30</v>
      </c>
      <c r="D174" t="s">
        <v>31</v>
      </c>
      <c r="E174">
        <v>-18</v>
      </c>
      <c r="F174" t="s">
        <v>43</v>
      </c>
    </row>
    <row r="175" spans="1:6" x14ac:dyDescent="0.25">
      <c r="A175" s="12">
        <v>45888</v>
      </c>
      <c r="B175" t="s">
        <v>37</v>
      </c>
      <c r="C175" t="s">
        <v>26</v>
      </c>
      <c r="D175" t="s">
        <v>27</v>
      </c>
      <c r="E175">
        <v>-16</v>
      </c>
      <c r="F175" t="s">
        <v>43</v>
      </c>
    </row>
    <row r="176" spans="1:6" x14ac:dyDescent="0.25">
      <c r="A176" s="12">
        <v>45889</v>
      </c>
      <c r="B176" t="s">
        <v>38</v>
      </c>
      <c r="C176" t="s">
        <v>18</v>
      </c>
      <c r="D176" t="s">
        <v>19</v>
      </c>
      <c r="E176">
        <v>17</v>
      </c>
      <c r="F176" t="s">
        <v>42</v>
      </c>
    </row>
    <row r="177" spans="1:6" x14ac:dyDescent="0.25">
      <c r="A177" s="12">
        <v>45890</v>
      </c>
      <c r="B177" t="s">
        <v>39</v>
      </c>
      <c r="C177" t="s">
        <v>14</v>
      </c>
      <c r="D177" t="s">
        <v>15</v>
      </c>
      <c r="E177">
        <v>-7</v>
      </c>
      <c r="F177" t="s">
        <v>43</v>
      </c>
    </row>
    <row r="178" spans="1:6" x14ac:dyDescent="0.25">
      <c r="A178" s="12">
        <v>45892</v>
      </c>
      <c r="B178" t="s">
        <v>39</v>
      </c>
      <c r="C178" t="s">
        <v>32</v>
      </c>
      <c r="D178" t="s">
        <v>33</v>
      </c>
      <c r="E178">
        <v>21</v>
      </c>
      <c r="F178" t="s">
        <v>42</v>
      </c>
    </row>
    <row r="179" spans="1:6" x14ac:dyDescent="0.25">
      <c r="A179" s="12">
        <v>45895</v>
      </c>
      <c r="B179" t="s">
        <v>37</v>
      </c>
      <c r="C179" t="s">
        <v>8</v>
      </c>
      <c r="D179" t="s">
        <v>9</v>
      </c>
      <c r="E179">
        <v>-17</v>
      </c>
      <c r="F179" t="s">
        <v>43</v>
      </c>
    </row>
    <row r="180" spans="1:6" x14ac:dyDescent="0.25">
      <c r="A180" s="12">
        <v>45896</v>
      </c>
      <c r="B180" t="s">
        <v>36</v>
      </c>
      <c r="C180" t="s">
        <v>22</v>
      </c>
      <c r="D180" t="s">
        <v>23</v>
      </c>
      <c r="E180">
        <v>-7</v>
      </c>
      <c r="F180" t="s">
        <v>43</v>
      </c>
    </row>
    <row r="181" spans="1:6" x14ac:dyDescent="0.25">
      <c r="A181" s="12">
        <v>45898</v>
      </c>
      <c r="B181" t="s">
        <v>36</v>
      </c>
      <c r="C181" t="s">
        <v>16</v>
      </c>
      <c r="D181" t="s">
        <v>17</v>
      </c>
      <c r="E181">
        <v>-2</v>
      </c>
      <c r="F181" t="s">
        <v>43</v>
      </c>
    </row>
    <row r="182" spans="1:6" x14ac:dyDescent="0.25">
      <c r="A182" s="12">
        <v>45898</v>
      </c>
      <c r="B182" t="s">
        <v>39</v>
      </c>
      <c r="C182" t="s">
        <v>12</v>
      </c>
      <c r="D182" t="s">
        <v>13</v>
      </c>
      <c r="E182">
        <v>-3</v>
      </c>
      <c r="F182" t="s">
        <v>43</v>
      </c>
    </row>
    <row r="183" spans="1:6" x14ac:dyDescent="0.25">
      <c r="A183" s="12">
        <v>45900</v>
      </c>
      <c r="B183" t="s">
        <v>37</v>
      </c>
      <c r="C183" t="s">
        <v>10</v>
      </c>
      <c r="D183" t="s">
        <v>11</v>
      </c>
      <c r="E183">
        <v>-5</v>
      </c>
      <c r="F183" t="s">
        <v>43</v>
      </c>
    </row>
    <row r="184" spans="1:6" x14ac:dyDescent="0.25">
      <c r="A184" s="12">
        <v>45901</v>
      </c>
      <c r="B184" t="s">
        <v>36</v>
      </c>
      <c r="C184" t="s">
        <v>4</v>
      </c>
      <c r="D184" t="s">
        <v>5</v>
      </c>
      <c r="E184">
        <v>-8</v>
      </c>
      <c r="F184" t="s">
        <v>43</v>
      </c>
    </row>
    <row r="185" spans="1:6" x14ac:dyDescent="0.25">
      <c r="A185" s="12">
        <v>45904</v>
      </c>
      <c r="B185" t="s">
        <v>37</v>
      </c>
      <c r="C185" t="s">
        <v>16</v>
      </c>
      <c r="D185" t="s">
        <v>17</v>
      </c>
      <c r="E185">
        <v>16</v>
      </c>
      <c r="F185" t="s">
        <v>42</v>
      </c>
    </row>
    <row r="186" spans="1:6" x14ac:dyDescent="0.25">
      <c r="A186" s="12">
        <v>45905</v>
      </c>
      <c r="B186" t="s">
        <v>38</v>
      </c>
      <c r="C186" t="s">
        <v>22</v>
      </c>
      <c r="D186" t="s">
        <v>23</v>
      </c>
      <c r="E186">
        <v>-18</v>
      </c>
      <c r="F186" t="s">
        <v>43</v>
      </c>
    </row>
    <row r="187" spans="1:6" x14ac:dyDescent="0.25">
      <c r="A187" s="12">
        <v>45906</v>
      </c>
      <c r="B187" t="s">
        <v>36</v>
      </c>
      <c r="C187" t="s">
        <v>6</v>
      </c>
      <c r="D187" t="s">
        <v>7</v>
      </c>
      <c r="E187">
        <v>24</v>
      </c>
      <c r="F187" t="s">
        <v>42</v>
      </c>
    </row>
    <row r="188" spans="1:6" x14ac:dyDescent="0.25">
      <c r="A188" s="12">
        <v>45906</v>
      </c>
      <c r="B188" t="s">
        <v>38</v>
      </c>
      <c r="C188" t="s">
        <v>28</v>
      </c>
      <c r="D188" t="s">
        <v>29</v>
      </c>
      <c r="E188">
        <v>-17</v>
      </c>
      <c r="F188" t="s">
        <v>43</v>
      </c>
    </row>
    <row r="189" spans="1:6" x14ac:dyDescent="0.25">
      <c r="A189" s="12">
        <v>45908</v>
      </c>
      <c r="B189" t="s">
        <v>36</v>
      </c>
      <c r="C189" t="s">
        <v>22</v>
      </c>
      <c r="D189" t="s">
        <v>23</v>
      </c>
      <c r="E189">
        <v>11</v>
      </c>
      <c r="F189" t="s">
        <v>42</v>
      </c>
    </row>
    <row r="190" spans="1:6" x14ac:dyDescent="0.25">
      <c r="A190" s="12">
        <v>45908</v>
      </c>
      <c r="B190" t="s">
        <v>38</v>
      </c>
      <c r="C190" t="s">
        <v>4</v>
      </c>
      <c r="D190" t="s">
        <v>5</v>
      </c>
      <c r="E190">
        <v>-14</v>
      </c>
      <c r="F190" t="s">
        <v>43</v>
      </c>
    </row>
    <row r="191" spans="1:6" x14ac:dyDescent="0.25">
      <c r="A191" s="12">
        <v>45911</v>
      </c>
      <c r="B191" t="s">
        <v>37</v>
      </c>
      <c r="C191" t="s">
        <v>26</v>
      </c>
      <c r="D191" t="s">
        <v>27</v>
      </c>
      <c r="E191">
        <v>-13</v>
      </c>
      <c r="F191" t="s">
        <v>43</v>
      </c>
    </row>
    <row r="192" spans="1:6" x14ac:dyDescent="0.25">
      <c r="A192" s="12">
        <v>45913</v>
      </c>
      <c r="B192" t="s">
        <v>38</v>
      </c>
      <c r="C192" t="s">
        <v>10</v>
      </c>
      <c r="D192" t="s">
        <v>11</v>
      </c>
      <c r="E192">
        <v>21</v>
      </c>
      <c r="F192" t="s">
        <v>42</v>
      </c>
    </row>
    <row r="193" spans="1:6" x14ac:dyDescent="0.25">
      <c r="A193" s="12">
        <v>45915</v>
      </c>
      <c r="B193" t="s">
        <v>36</v>
      </c>
      <c r="C193" t="s">
        <v>22</v>
      </c>
      <c r="D193" t="s">
        <v>23</v>
      </c>
      <c r="E193">
        <v>16</v>
      </c>
      <c r="F193" t="s">
        <v>42</v>
      </c>
    </row>
    <row r="194" spans="1:6" x14ac:dyDescent="0.25">
      <c r="A194" s="12">
        <v>45917</v>
      </c>
      <c r="B194" t="s">
        <v>38</v>
      </c>
      <c r="C194" t="s">
        <v>30</v>
      </c>
      <c r="D194" t="s">
        <v>31</v>
      </c>
      <c r="E194">
        <v>21</v>
      </c>
      <c r="F194" t="s">
        <v>42</v>
      </c>
    </row>
    <row r="195" spans="1:6" x14ac:dyDescent="0.25">
      <c r="A195" s="12">
        <v>45917</v>
      </c>
      <c r="B195" t="s">
        <v>36</v>
      </c>
      <c r="C195" t="s">
        <v>26</v>
      </c>
      <c r="D195" t="s">
        <v>27</v>
      </c>
      <c r="E195">
        <v>-10</v>
      </c>
      <c r="F195" t="s">
        <v>43</v>
      </c>
    </row>
    <row r="196" spans="1:6" x14ac:dyDescent="0.25">
      <c r="A196" s="12">
        <v>45919</v>
      </c>
      <c r="B196" t="s">
        <v>38</v>
      </c>
      <c r="C196" t="s">
        <v>16</v>
      </c>
      <c r="D196" t="s">
        <v>17</v>
      </c>
      <c r="E196">
        <v>-20</v>
      </c>
      <c r="F196" t="s">
        <v>43</v>
      </c>
    </row>
    <row r="197" spans="1:6" x14ac:dyDescent="0.25">
      <c r="A197" s="12">
        <v>45928</v>
      </c>
      <c r="B197" t="s">
        <v>39</v>
      </c>
      <c r="C197" t="s">
        <v>22</v>
      </c>
      <c r="D197" t="s">
        <v>23</v>
      </c>
      <c r="E197">
        <v>15</v>
      </c>
      <c r="F197" t="s">
        <v>42</v>
      </c>
    </row>
    <row r="198" spans="1:6" x14ac:dyDescent="0.25">
      <c r="A198" s="12">
        <v>45928</v>
      </c>
      <c r="B198" t="s">
        <v>38</v>
      </c>
      <c r="C198" t="s">
        <v>22</v>
      </c>
      <c r="D198" t="s">
        <v>23</v>
      </c>
      <c r="E198">
        <v>21</v>
      </c>
      <c r="F198" t="s">
        <v>42</v>
      </c>
    </row>
    <row r="199" spans="1:6" x14ac:dyDescent="0.25">
      <c r="A199" s="12">
        <v>45933</v>
      </c>
      <c r="B199" t="s">
        <v>39</v>
      </c>
      <c r="C199" t="s">
        <v>30</v>
      </c>
      <c r="D199" t="s">
        <v>31</v>
      </c>
      <c r="E199">
        <v>-14</v>
      </c>
      <c r="F199" t="s">
        <v>43</v>
      </c>
    </row>
    <row r="200" spans="1:6" x14ac:dyDescent="0.25">
      <c r="A200" s="12">
        <v>45935</v>
      </c>
      <c r="B200" t="s">
        <v>37</v>
      </c>
      <c r="C200" t="s">
        <v>4</v>
      </c>
      <c r="D200" t="s">
        <v>5</v>
      </c>
      <c r="E200">
        <v>19</v>
      </c>
      <c r="F200" t="s">
        <v>42</v>
      </c>
    </row>
    <row r="201" spans="1:6" x14ac:dyDescent="0.25">
      <c r="A201" s="12">
        <v>45935</v>
      </c>
      <c r="B201" t="s">
        <v>39</v>
      </c>
      <c r="C201" t="s">
        <v>16</v>
      </c>
      <c r="D201" t="s">
        <v>17</v>
      </c>
      <c r="E201">
        <v>-11</v>
      </c>
      <c r="F201" t="s">
        <v>43</v>
      </c>
    </row>
    <row r="202" spans="1:6" x14ac:dyDescent="0.25">
      <c r="A202" s="12">
        <v>45939</v>
      </c>
      <c r="B202" t="s">
        <v>37</v>
      </c>
      <c r="C202" t="s">
        <v>24</v>
      </c>
      <c r="D202" t="s">
        <v>25</v>
      </c>
      <c r="E202">
        <v>16</v>
      </c>
      <c r="F202" t="s">
        <v>42</v>
      </c>
    </row>
    <row r="203" spans="1:6" x14ac:dyDescent="0.25">
      <c r="A203" s="12">
        <v>45941</v>
      </c>
      <c r="B203" t="s">
        <v>38</v>
      </c>
      <c r="C203" t="s">
        <v>4</v>
      </c>
      <c r="D203" t="s">
        <v>5</v>
      </c>
      <c r="E203">
        <v>19</v>
      </c>
      <c r="F203" t="s">
        <v>42</v>
      </c>
    </row>
    <row r="204" spans="1:6" x14ac:dyDescent="0.25">
      <c r="A204" s="12">
        <v>45941</v>
      </c>
      <c r="B204" t="s">
        <v>36</v>
      </c>
      <c r="C204" t="s">
        <v>32</v>
      </c>
      <c r="D204" t="s">
        <v>33</v>
      </c>
      <c r="E204">
        <v>4</v>
      </c>
      <c r="F204" t="s">
        <v>42</v>
      </c>
    </row>
    <row r="205" spans="1:6" x14ac:dyDescent="0.25">
      <c r="A205" s="12">
        <v>45941</v>
      </c>
      <c r="B205" t="s">
        <v>39</v>
      </c>
      <c r="C205" t="s">
        <v>26</v>
      </c>
      <c r="D205" t="s">
        <v>27</v>
      </c>
      <c r="E205">
        <v>-10</v>
      </c>
      <c r="F205" t="s">
        <v>43</v>
      </c>
    </row>
    <row r="206" spans="1:6" x14ac:dyDescent="0.25">
      <c r="A206" s="12">
        <v>45942</v>
      </c>
      <c r="B206" t="s">
        <v>39</v>
      </c>
      <c r="C206" t="s">
        <v>26</v>
      </c>
      <c r="D206" t="s">
        <v>27</v>
      </c>
      <c r="E206">
        <v>24</v>
      </c>
      <c r="F206" t="s">
        <v>42</v>
      </c>
    </row>
    <row r="207" spans="1:6" x14ac:dyDescent="0.25">
      <c r="A207" s="12">
        <v>45946</v>
      </c>
      <c r="B207" t="s">
        <v>36</v>
      </c>
      <c r="C207" t="s">
        <v>18</v>
      </c>
      <c r="D207" t="s">
        <v>19</v>
      </c>
      <c r="E207">
        <v>20</v>
      </c>
      <c r="F207" t="s">
        <v>42</v>
      </c>
    </row>
    <row r="208" spans="1:6" x14ac:dyDescent="0.25">
      <c r="A208" s="12">
        <v>45948</v>
      </c>
      <c r="B208" t="s">
        <v>37</v>
      </c>
      <c r="C208" t="s">
        <v>4</v>
      </c>
      <c r="D208" t="s">
        <v>5</v>
      </c>
      <c r="E208">
        <v>8</v>
      </c>
      <c r="F208" t="s">
        <v>42</v>
      </c>
    </row>
    <row r="209" spans="1:6" x14ac:dyDescent="0.25">
      <c r="A209" s="12">
        <v>45949</v>
      </c>
      <c r="B209" t="s">
        <v>37</v>
      </c>
      <c r="C209" t="s">
        <v>16</v>
      </c>
      <c r="D209" t="s">
        <v>17</v>
      </c>
      <c r="E209">
        <v>4</v>
      </c>
      <c r="F209" t="s">
        <v>42</v>
      </c>
    </row>
    <row r="210" spans="1:6" x14ac:dyDescent="0.25">
      <c r="A210" s="12">
        <v>45956</v>
      </c>
      <c r="B210" t="s">
        <v>36</v>
      </c>
      <c r="C210" t="s">
        <v>16</v>
      </c>
      <c r="D210" t="s">
        <v>17</v>
      </c>
      <c r="E210">
        <v>22</v>
      </c>
      <c r="F210" t="s">
        <v>42</v>
      </c>
    </row>
    <row r="211" spans="1:6" x14ac:dyDescent="0.25">
      <c r="A211" s="12">
        <v>45961</v>
      </c>
      <c r="B211" t="s">
        <v>36</v>
      </c>
      <c r="C211" t="s">
        <v>32</v>
      </c>
      <c r="D211" t="s">
        <v>33</v>
      </c>
      <c r="E211">
        <v>-13</v>
      </c>
      <c r="F211" t="s">
        <v>43</v>
      </c>
    </row>
    <row r="212" spans="1:6" x14ac:dyDescent="0.25">
      <c r="A212" s="12">
        <v>45967</v>
      </c>
      <c r="B212" t="s">
        <v>37</v>
      </c>
      <c r="C212" t="s">
        <v>12</v>
      </c>
      <c r="D212" t="s">
        <v>13</v>
      </c>
      <c r="E212">
        <v>10</v>
      </c>
      <c r="F212" t="s">
        <v>42</v>
      </c>
    </row>
    <row r="213" spans="1:6" x14ac:dyDescent="0.25">
      <c r="A213" s="12">
        <v>45968</v>
      </c>
      <c r="B213" t="s">
        <v>37</v>
      </c>
      <c r="C213" t="s">
        <v>12</v>
      </c>
      <c r="D213" t="s">
        <v>13</v>
      </c>
      <c r="E213">
        <v>17</v>
      </c>
      <c r="F213" t="s">
        <v>42</v>
      </c>
    </row>
    <row r="214" spans="1:6" x14ac:dyDescent="0.25">
      <c r="A214" s="12">
        <v>45971</v>
      </c>
      <c r="B214" t="s">
        <v>38</v>
      </c>
      <c r="C214" t="s">
        <v>28</v>
      </c>
      <c r="D214" t="s">
        <v>29</v>
      </c>
      <c r="E214">
        <v>-15</v>
      </c>
      <c r="F214" t="s">
        <v>43</v>
      </c>
    </row>
    <row r="215" spans="1:6" x14ac:dyDescent="0.25">
      <c r="A215" s="12">
        <v>45973</v>
      </c>
      <c r="B215" t="s">
        <v>39</v>
      </c>
      <c r="C215" t="s">
        <v>24</v>
      </c>
      <c r="D215" t="s">
        <v>25</v>
      </c>
      <c r="E215">
        <v>-6</v>
      </c>
      <c r="F215" t="s">
        <v>43</v>
      </c>
    </row>
    <row r="216" spans="1:6" x14ac:dyDescent="0.25">
      <c r="A216" s="12">
        <v>45976</v>
      </c>
      <c r="B216" t="s">
        <v>37</v>
      </c>
      <c r="C216" t="s">
        <v>30</v>
      </c>
      <c r="D216" t="s">
        <v>31</v>
      </c>
      <c r="E216">
        <v>-1</v>
      </c>
      <c r="F216" t="s">
        <v>43</v>
      </c>
    </row>
    <row r="217" spans="1:6" x14ac:dyDescent="0.25">
      <c r="A217" s="12">
        <v>45976</v>
      </c>
      <c r="B217" t="s">
        <v>39</v>
      </c>
      <c r="C217" t="s">
        <v>32</v>
      </c>
      <c r="D217" t="s">
        <v>33</v>
      </c>
      <c r="E217">
        <v>-5</v>
      </c>
      <c r="F217" t="s">
        <v>43</v>
      </c>
    </row>
    <row r="218" spans="1:6" x14ac:dyDescent="0.25">
      <c r="A218" s="12">
        <v>45978</v>
      </c>
      <c r="B218" t="s">
        <v>37</v>
      </c>
      <c r="C218" t="s">
        <v>20</v>
      </c>
      <c r="D218" t="s">
        <v>21</v>
      </c>
      <c r="E218">
        <v>4</v>
      </c>
      <c r="F218" t="s">
        <v>42</v>
      </c>
    </row>
    <row r="219" spans="1:6" x14ac:dyDescent="0.25">
      <c r="A219" s="12">
        <v>45980</v>
      </c>
      <c r="B219" t="s">
        <v>36</v>
      </c>
      <c r="C219" t="s">
        <v>18</v>
      </c>
      <c r="D219" t="s">
        <v>19</v>
      </c>
      <c r="E219">
        <v>-14</v>
      </c>
      <c r="F219" t="s">
        <v>43</v>
      </c>
    </row>
    <row r="220" spans="1:6" x14ac:dyDescent="0.25">
      <c r="A220" s="12">
        <v>45983</v>
      </c>
      <c r="B220" t="s">
        <v>36</v>
      </c>
      <c r="C220" t="s">
        <v>16</v>
      </c>
      <c r="D220" t="s">
        <v>17</v>
      </c>
      <c r="E220">
        <v>-12</v>
      </c>
      <c r="F220" t="s">
        <v>43</v>
      </c>
    </row>
    <row r="221" spans="1:6" x14ac:dyDescent="0.25">
      <c r="A221" s="12">
        <v>45984</v>
      </c>
      <c r="B221" t="s">
        <v>38</v>
      </c>
      <c r="C221" t="s">
        <v>28</v>
      </c>
      <c r="D221" t="s">
        <v>29</v>
      </c>
      <c r="E221">
        <v>-8</v>
      </c>
      <c r="F221" t="s">
        <v>43</v>
      </c>
    </row>
    <row r="222" spans="1:6" x14ac:dyDescent="0.25">
      <c r="A222" s="12">
        <v>45989</v>
      </c>
      <c r="B222" t="s">
        <v>38</v>
      </c>
      <c r="C222" t="s">
        <v>26</v>
      </c>
      <c r="D222" t="s">
        <v>27</v>
      </c>
      <c r="E222">
        <v>22</v>
      </c>
      <c r="F222" t="s">
        <v>42</v>
      </c>
    </row>
    <row r="223" spans="1:6" x14ac:dyDescent="0.25">
      <c r="A223" s="12">
        <v>45989</v>
      </c>
      <c r="B223" t="s">
        <v>38</v>
      </c>
      <c r="C223" t="s">
        <v>6</v>
      </c>
      <c r="D223" t="s">
        <v>7</v>
      </c>
      <c r="E223">
        <v>-17</v>
      </c>
      <c r="F223" t="s">
        <v>43</v>
      </c>
    </row>
    <row r="224" spans="1:6" x14ac:dyDescent="0.25">
      <c r="A224" s="12">
        <v>45991</v>
      </c>
      <c r="B224" t="s">
        <v>37</v>
      </c>
      <c r="C224" t="s">
        <v>26</v>
      </c>
      <c r="D224" t="s">
        <v>27</v>
      </c>
      <c r="E224">
        <v>-17</v>
      </c>
      <c r="F224" t="s">
        <v>43</v>
      </c>
    </row>
    <row r="225" spans="1:6" x14ac:dyDescent="0.25">
      <c r="A225" s="12">
        <v>45991</v>
      </c>
      <c r="B225" t="s">
        <v>38</v>
      </c>
      <c r="C225" t="s">
        <v>10</v>
      </c>
      <c r="D225" t="s">
        <v>11</v>
      </c>
      <c r="E225">
        <v>-3</v>
      </c>
      <c r="F225" t="s">
        <v>43</v>
      </c>
    </row>
    <row r="226" spans="1:6" x14ac:dyDescent="0.25">
      <c r="A226" s="12">
        <v>45993</v>
      </c>
      <c r="B226" t="s">
        <v>39</v>
      </c>
      <c r="C226" t="s">
        <v>10</v>
      </c>
      <c r="D226" t="s">
        <v>11</v>
      </c>
      <c r="E226">
        <v>-5</v>
      </c>
      <c r="F226" t="s">
        <v>43</v>
      </c>
    </row>
    <row r="227" spans="1:6" x14ac:dyDescent="0.25">
      <c r="A227" s="12">
        <v>45995</v>
      </c>
      <c r="B227" t="s">
        <v>37</v>
      </c>
      <c r="C227" t="s">
        <v>6</v>
      </c>
      <c r="D227" t="s">
        <v>7</v>
      </c>
      <c r="E227">
        <v>4</v>
      </c>
      <c r="F227" t="s">
        <v>42</v>
      </c>
    </row>
    <row r="228" spans="1:6" x14ac:dyDescent="0.25">
      <c r="A228" s="12">
        <v>45996</v>
      </c>
      <c r="B228" t="s">
        <v>38</v>
      </c>
      <c r="C228" t="s">
        <v>20</v>
      </c>
      <c r="D228" t="s">
        <v>21</v>
      </c>
      <c r="E228">
        <v>-14</v>
      </c>
      <c r="F228" t="s">
        <v>43</v>
      </c>
    </row>
    <row r="229" spans="1:6" x14ac:dyDescent="0.25">
      <c r="A229" s="12">
        <v>45997</v>
      </c>
      <c r="B229" t="s">
        <v>36</v>
      </c>
      <c r="C229" t="s">
        <v>12</v>
      </c>
      <c r="D229" t="s">
        <v>13</v>
      </c>
      <c r="E229">
        <v>-17</v>
      </c>
      <c r="F229" t="s">
        <v>43</v>
      </c>
    </row>
    <row r="230" spans="1:6" x14ac:dyDescent="0.25">
      <c r="A230" s="12">
        <v>45997</v>
      </c>
      <c r="B230" t="s">
        <v>38</v>
      </c>
      <c r="C230" t="s">
        <v>22</v>
      </c>
      <c r="D230" t="s">
        <v>23</v>
      </c>
      <c r="E230">
        <v>-11</v>
      </c>
      <c r="F230" t="s">
        <v>43</v>
      </c>
    </row>
    <row r="231" spans="1:6" x14ac:dyDescent="0.25">
      <c r="A231" s="12">
        <v>45998</v>
      </c>
      <c r="B231" t="s">
        <v>37</v>
      </c>
      <c r="C231" t="s">
        <v>10</v>
      </c>
      <c r="D231" t="s">
        <v>11</v>
      </c>
      <c r="E231">
        <v>-14</v>
      </c>
      <c r="F231" t="s">
        <v>43</v>
      </c>
    </row>
    <row r="232" spans="1:6" x14ac:dyDescent="0.25">
      <c r="A232" s="12">
        <v>45999</v>
      </c>
      <c r="B232" t="s">
        <v>37</v>
      </c>
      <c r="C232" t="s">
        <v>24</v>
      </c>
      <c r="D232" t="s">
        <v>25</v>
      </c>
      <c r="E232">
        <v>8</v>
      </c>
      <c r="F232" t="s">
        <v>42</v>
      </c>
    </row>
    <row r="233" spans="1:6" x14ac:dyDescent="0.25">
      <c r="A233" s="12">
        <v>45999</v>
      </c>
      <c r="B233" t="s">
        <v>39</v>
      </c>
      <c r="C233" t="s">
        <v>8</v>
      </c>
      <c r="D233" t="s">
        <v>9</v>
      </c>
      <c r="E233">
        <v>-15</v>
      </c>
      <c r="F233" t="s">
        <v>43</v>
      </c>
    </row>
    <row r="234" spans="1:6" x14ac:dyDescent="0.25">
      <c r="A234" s="12">
        <v>46002</v>
      </c>
      <c r="B234" t="s">
        <v>38</v>
      </c>
      <c r="C234" t="s">
        <v>6</v>
      </c>
      <c r="D234" t="s">
        <v>7</v>
      </c>
      <c r="E234">
        <v>-8</v>
      </c>
      <c r="F234" t="s">
        <v>43</v>
      </c>
    </row>
    <row r="235" spans="1:6" x14ac:dyDescent="0.25">
      <c r="A235" s="12">
        <v>46006</v>
      </c>
      <c r="B235" t="s">
        <v>38</v>
      </c>
      <c r="C235" t="s">
        <v>20</v>
      </c>
      <c r="D235" t="s">
        <v>21</v>
      </c>
      <c r="E235">
        <v>1</v>
      </c>
      <c r="F235" t="s">
        <v>42</v>
      </c>
    </row>
    <row r="236" spans="1:6" x14ac:dyDescent="0.25">
      <c r="A236" s="12">
        <v>46008</v>
      </c>
      <c r="B236" t="s">
        <v>37</v>
      </c>
      <c r="C236" t="s">
        <v>6</v>
      </c>
      <c r="D236" t="s">
        <v>7</v>
      </c>
      <c r="E236">
        <v>-10</v>
      </c>
      <c r="F236" t="s">
        <v>43</v>
      </c>
    </row>
    <row r="237" spans="1:6" x14ac:dyDescent="0.25">
      <c r="A237" s="12">
        <v>46010</v>
      </c>
      <c r="B237" t="s">
        <v>38</v>
      </c>
      <c r="C237" t="s">
        <v>32</v>
      </c>
      <c r="D237" t="s">
        <v>33</v>
      </c>
      <c r="E237">
        <v>21</v>
      </c>
      <c r="F237" t="s">
        <v>42</v>
      </c>
    </row>
    <row r="238" spans="1:6" x14ac:dyDescent="0.25">
      <c r="A238" s="12">
        <v>46011</v>
      </c>
      <c r="B238" t="s">
        <v>36</v>
      </c>
      <c r="C238" t="s">
        <v>6</v>
      </c>
      <c r="D238" t="s">
        <v>7</v>
      </c>
      <c r="E238">
        <v>3</v>
      </c>
      <c r="F238" t="s">
        <v>42</v>
      </c>
    </row>
    <row r="239" spans="1:6" x14ac:dyDescent="0.25">
      <c r="A239" s="12">
        <v>46011</v>
      </c>
      <c r="B239" t="s">
        <v>39</v>
      </c>
      <c r="C239" t="s">
        <v>10</v>
      </c>
      <c r="D239" t="s">
        <v>11</v>
      </c>
      <c r="E239">
        <v>18</v>
      </c>
      <c r="F239" t="s">
        <v>42</v>
      </c>
    </row>
    <row r="240" spans="1:6" x14ac:dyDescent="0.25">
      <c r="A240" s="12">
        <v>46014</v>
      </c>
      <c r="B240" t="s">
        <v>39</v>
      </c>
      <c r="C240" t="s">
        <v>16</v>
      </c>
      <c r="D240" t="s">
        <v>17</v>
      </c>
      <c r="E240">
        <v>-19</v>
      </c>
      <c r="F240" t="s">
        <v>43</v>
      </c>
    </row>
    <row r="241" spans="1:6" x14ac:dyDescent="0.25">
      <c r="A241" s="12">
        <v>46017</v>
      </c>
      <c r="B241" t="s">
        <v>37</v>
      </c>
      <c r="C241" t="s">
        <v>12</v>
      </c>
      <c r="D241" t="s">
        <v>13</v>
      </c>
      <c r="E241">
        <v>-6</v>
      </c>
      <c r="F241" t="s">
        <v>43</v>
      </c>
    </row>
    <row r="242" spans="1:6" x14ac:dyDescent="0.25">
      <c r="A242" s="12">
        <v>46018</v>
      </c>
      <c r="B242" t="s">
        <v>39</v>
      </c>
      <c r="C242" t="s">
        <v>30</v>
      </c>
      <c r="D242" t="s">
        <v>31</v>
      </c>
      <c r="E242">
        <v>18</v>
      </c>
      <c r="F242" t="s">
        <v>42</v>
      </c>
    </row>
    <row r="243" spans="1:6" x14ac:dyDescent="0.25">
      <c r="A243" s="12">
        <v>46037</v>
      </c>
      <c r="B243" t="s">
        <v>36</v>
      </c>
      <c r="C243" t="s">
        <v>4</v>
      </c>
      <c r="D243" t="s">
        <v>5</v>
      </c>
      <c r="E243">
        <v>5</v>
      </c>
      <c r="F243" t="s">
        <v>42</v>
      </c>
    </row>
    <row r="244" spans="1:6" x14ac:dyDescent="0.25">
      <c r="A244" s="12">
        <v>46042</v>
      </c>
      <c r="B244" t="s">
        <v>36</v>
      </c>
      <c r="C244" t="s">
        <v>4</v>
      </c>
      <c r="D244" t="s">
        <v>5</v>
      </c>
      <c r="E244">
        <v>-5</v>
      </c>
      <c r="F244" t="s">
        <v>43</v>
      </c>
    </row>
    <row r="245" spans="1:6" x14ac:dyDescent="0.25">
      <c r="A245" s="12">
        <v>46228</v>
      </c>
      <c r="B245" t="s">
        <v>36</v>
      </c>
      <c r="C245" t="s">
        <v>4</v>
      </c>
      <c r="D245" t="s">
        <v>5</v>
      </c>
      <c r="E245">
        <v>100</v>
      </c>
      <c r="F245" t="s">
        <v>42</v>
      </c>
    </row>
    <row r="246" spans="1:6" x14ac:dyDescent="0.25">
      <c r="A246" s="12">
        <v>46229</v>
      </c>
      <c r="B246" t="s">
        <v>36</v>
      </c>
      <c r="C246" t="s">
        <v>4</v>
      </c>
      <c r="D246" t="s">
        <v>5</v>
      </c>
      <c r="E246">
        <v>-100</v>
      </c>
      <c r="F246" t="s">
        <v>43</v>
      </c>
    </row>
    <row r="247" spans="1:6" x14ac:dyDescent="0.25">
      <c r="A247" s="12">
        <v>46230</v>
      </c>
      <c r="B247" t="s">
        <v>36</v>
      </c>
      <c r="C247" t="s">
        <v>4</v>
      </c>
      <c r="D247" t="s">
        <v>5</v>
      </c>
      <c r="E247">
        <v>-50</v>
      </c>
      <c r="F247" t="s">
        <v>43</v>
      </c>
    </row>
    <row r="248" spans="1:6" x14ac:dyDescent="0.25">
      <c r="A248" s="12">
        <v>46231</v>
      </c>
      <c r="B248" t="s">
        <v>36</v>
      </c>
      <c r="C248" t="s">
        <v>4</v>
      </c>
      <c r="D248" t="s">
        <v>5</v>
      </c>
      <c r="E248">
        <v>50</v>
      </c>
      <c r="F248" t="s">
        <v>42</v>
      </c>
    </row>
    <row r="249" spans="1:6" x14ac:dyDescent="0.25">
      <c r="A249" s="12">
        <v>46231</v>
      </c>
      <c r="B249" t="s">
        <v>36</v>
      </c>
      <c r="C249" t="s">
        <v>10</v>
      </c>
      <c r="D249" t="s">
        <v>11</v>
      </c>
      <c r="E249">
        <v>40</v>
      </c>
      <c r="F249" t="s">
        <v>42</v>
      </c>
    </row>
    <row r="250" spans="1:6" x14ac:dyDescent="0.25">
      <c r="A250" s="12">
        <v>46232</v>
      </c>
      <c r="B250" t="s">
        <v>36</v>
      </c>
      <c r="C250" t="s">
        <v>10</v>
      </c>
      <c r="D250" t="s">
        <v>11</v>
      </c>
      <c r="E250">
        <v>-41</v>
      </c>
      <c r="F250" t="s">
        <v>43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61"/>
  <sheetViews>
    <sheetView workbookViewId="0">
      <pane ySplit="1" topLeftCell="A2" activePane="bottomLeft" state="frozen"/>
      <selection activeCell="K13" sqref="K13"/>
      <selection pane="bottomLeft" sqref="A1:A1048576"/>
    </sheetView>
  </sheetViews>
  <sheetFormatPr defaultRowHeight="15" x14ac:dyDescent="0.25"/>
  <cols>
    <col min="1" max="1" width="14" style="12" customWidth="1"/>
    <col min="2" max="2" width="14" customWidth="1"/>
    <col min="3" max="3" width="10" customWidth="1"/>
    <col min="4" max="4" width="38" customWidth="1"/>
    <col min="5" max="5" width="10" customWidth="1"/>
  </cols>
  <sheetData>
    <row r="1" spans="1:5" x14ac:dyDescent="0.25">
      <c r="A1" s="10" t="s">
        <v>34</v>
      </c>
      <c r="B1" s="3" t="s">
        <v>3</v>
      </c>
      <c r="C1" s="3" t="s">
        <v>1</v>
      </c>
      <c r="D1" s="3" t="s">
        <v>2</v>
      </c>
      <c r="E1" s="3" t="s">
        <v>35</v>
      </c>
    </row>
    <row r="2" spans="1:5" x14ac:dyDescent="0.25">
      <c r="A2" s="11">
        <v>45658</v>
      </c>
      <c r="B2" s="4" t="s">
        <v>36</v>
      </c>
      <c r="C2" s="4" t="s">
        <v>18</v>
      </c>
      <c r="D2" s="4" t="s">
        <v>19</v>
      </c>
      <c r="E2" s="4">
        <v>14</v>
      </c>
    </row>
    <row r="3" spans="1:5" x14ac:dyDescent="0.25">
      <c r="A3" s="11">
        <v>45658</v>
      </c>
      <c r="B3" s="4" t="s">
        <v>36</v>
      </c>
      <c r="C3" s="4" t="s">
        <v>30</v>
      </c>
      <c r="D3" s="4" t="s">
        <v>31</v>
      </c>
      <c r="E3" s="4">
        <v>29</v>
      </c>
    </row>
    <row r="4" spans="1:5" x14ac:dyDescent="0.25">
      <c r="A4" s="11">
        <v>45658</v>
      </c>
      <c r="B4" s="4" t="s">
        <v>36</v>
      </c>
      <c r="C4" s="4" t="s">
        <v>20</v>
      </c>
      <c r="D4" s="4" t="s">
        <v>21</v>
      </c>
      <c r="E4" s="4">
        <v>42</v>
      </c>
    </row>
    <row r="5" spans="1:5" x14ac:dyDescent="0.25">
      <c r="A5" s="11">
        <v>45658</v>
      </c>
      <c r="B5" s="4" t="s">
        <v>36</v>
      </c>
      <c r="C5" s="4" t="s">
        <v>22</v>
      </c>
      <c r="D5" s="4" t="s">
        <v>23</v>
      </c>
      <c r="E5" s="4">
        <v>13</v>
      </c>
    </row>
    <row r="6" spans="1:5" x14ac:dyDescent="0.25">
      <c r="A6" s="11">
        <v>45658</v>
      </c>
      <c r="B6" s="4" t="s">
        <v>36</v>
      </c>
      <c r="C6" s="4" t="s">
        <v>26</v>
      </c>
      <c r="D6" s="4" t="s">
        <v>27</v>
      </c>
      <c r="E6" s="4">
        <v>35</v>
      </c>
    </row>
    <row r="7" spans="1:5" x14ac:dyDescent="0.25">
      <c r="A7" s="11">
        <v>45658</v>
      </c>
      <c r="B7" s="4" t="s">
        <v>36</v>
      </c>
      <c r="C7" s="4" t="s">
        <v>6</v>
      </c>
      <c r="D7" s="4" t="s">
        <v>7</v>
      </c>
      <c r="E7" s="4">
        <v>15</v>
      </c>
    </row>
    <row r="8" spans="1:5" x14ac:dyDescent="0.25">
      <c r="A8" s="11">
        <v>45658</v>
      </c>
      <c r="B8" s="4" t="s">
        <v>36</v>
      </c>
      <c r="C8" s="4" t="s">
        <v>24</v>
      </c>
      <c r="D8" s="4" t="s">
        <v>25</v>
      </c>
      <c r="E8" s="4">
        <v>45</v>
      </c>
    </row>
    <row r="9" spans="1:5" x14ac:dyDescent="0.25">
      <c r="A9" s="11">
        <v>45658</v>
      </c>
      <c r="B9" s="4" t="s">
        <v>36</v>
      </c>
      <c r="C9" s="4" t="s">
        <v>28</v>
      </c>
      <c r="D9" s="4" t="s">
        <v>29</v>
      </c>
      <c r="E9" s="4">
        <v>10</v>
      </c>
    </row>
    <row r="10" spans="1:5" x14ac:dyDescent="0.25">
      <c r="A10" s="11">
        <v>45658</v>
      </c>
      <c r="B10" s="4" t="s">
        <v>36</v>
      </c>
      <c r="C10" s="4" t="s">
        <v>14</v>
      </c>
      <c r="D10" s="4" t="s">
        <v>15</v>
      </c>
      <c r="E10" s="4">
        <v>22</v>
      </c>
    </row>
    <row r="11" spans="1:5" x14ac:dyDescent="0.25">
      <c r="A11" s="11">
        <v>45658</v>
      </c>
      <c r="B11" s="4" t="s">
        <v>36</v>
      </c>
      <c r="C11" s="4" t="s">
        <v>4</v>
      </c>
      <c r="D11" s="4" t="s">
        <v>5</v>
      </c>
      <c r="E11" s="4">
        <v>48</v>
      </c>
    </row>
    <row r="12" spans="1:5" x14ac:dyDescent="0.25">
      <c r="A12" s="11">
        <v>45658</v>
      </c>
      <c r="B12" s="4" t="s">
        <v>36</v>
      </c>
      <c r="C12" s="4" t="s">
        <v>8</v>
      </c>
      <c r="D12" s="4" t="s">
        <v>9</v>
      </c>
      <c r="E12" s="4">
        <v>9</v>
      </c>
    </row>
    <row r="13" spans="1:5" x14ac:dyDescent="0.25">
      <c r="A13" s="11">
        <v>45658</v>
      </c>
      <c r="B13" s="4" t="s">
        <v>36</v>
      </c>
      <c r="C13" s="4" t="s">
        <v>10</v>
      </c>
      <c r="D13" s="4" t="s">
        <v>11</v>
      </c>
      <c r="E13" s="4">
        <v>25</v>
      </c>
    </row>
    <row r="14" spans="1:5" x14ac:dyDescent="0.25">
      <c r="A14" s="11">
        <v>45658</v>
      </c>
      <c r="B14" s="4" t="s">
        <v>36</v>
      </c>
      <c r="C14" s="4" t="s">
        <v>16</v>
      </c>
      <c r="D14" s="4" t="s">
        <v>17</v>
      </c>
      <c r="E14" s="4">
        <v>16</v>
      </c>
    </row>
    <row r="15" spans="1:5" x14ac:dyDescent="0.25">
      <c r="A15" s="11">
        <v>45658</v>
      </c>
      <c r="B15" s="4" t="s">
        <v>36</v>
      </c>
      <c r="C15" s="4" t="s">
        <v>12</v>
      </c>
      <c r="D15" s="4" t="s">
        <v>13</v>
      </c>
      <c r="E15" s="4">
        <v>23</v>
      </c>
    </row>
    <row r="16" spans="1:5" x14ac:dyDescent="0.25">
      <c r="A16" s="11">
        <v>45658</v>
      </c>
      <c r="B16" s="4" t="s">
        <v>36</v>
      </c>
      <c r="C16" s="4" t="s">
        <v>32</v>
      </c>
      <c r="D16" s="4" t="s">
        <v>33</v>
      </c>
      <c r="E16" s="4">
        <v>13</v>
      </c>
    </row>
    <row r="17" spans="1:5" x14ac:dyDescent="0.25">
      <c r="A17" s="11">
        <v>45658</v>
      </c>
      <c r="B17" s="4" t="s">
        <v>38</v>
      </c>
      <c r="C17" s="4" t="s">
        <v>18</v>
      </c>
      <c r="D17" s="4" t="s">
        <v>19</v>
      </c>
      <c r="E17" s="4">
        <v>14</v>
      </c>
    </row>
    <row r="18" spans="1:5" x14ac:dyDescent="0.25">
      <c r="A18" s="11">
        <v>45658</v>
      </c>
      <c r="B18" s="4" t="s">
        <v>38</v>
      </c>
      <c r="C18" s="4" t="s">
        <v>30</v>
      </c>
      <c r="D18" s="4" t="s">
        <v>31</v>
      </c>
      <c r="E18" s="4">
        <v>46</v>
      </c>
    </row>
    <row r="19" spans="1:5" x14ac:dyDescent="0.25">
      <c r="A19" s="11">
        <v>45658</v>
      </c>
      <c r="B19" s="4" t="s">
        <v>38</v>
      </c>
      <c r="C19" s="4" t="s">
        <v>20</v>
      </c>
      <c r="D19" s="4" t="s">
        <v>21</v>
      </c>
      <c r="E19" s="4">
        <v>13</v>
      </c>
    </row>
    <row r="20" spans="1:5" x14ac:dyDescent="0.25">
      <c r="A20" s="11">
        <v>45658</v>
      </c>
      <c r="B20" s="4" t="s">
        <v>38</v>
      </c>
      <c r="C20" s="4" t="s">
        <v>22</v>
      </c>
      <c r="D20" s="4" t="s">
        <v>23</v>
      </c>
      <c r="E20" s="4">
        <v>32</v>
      </c>
    </row>
    <row r="21" spans="1:5" x14ac:dyDescent="0.25">
      <c r="A21" s="11">
        <v>45658</v>
      </c>
      <c r="B21" s="4" t="s">
        <v>38</v>
      </c>
      <c r="C21" s="4" t="s">
        <v>26</v>
      </c>
      <c r="D21" s="4" t="s">
        <v>27</v>
      </c>
      <c r="E21" s="4">
        <v>30</v>
      </c>
    </row>
    <row r="22" spans="1:5" x14ac:dyDescent="0.25">
      <c r="A22" s="11">
        <v>45658</v>
      </c>
      <c r="B22" s="4" t="s">
        <v>38</v>
      </c>
      <c r="C22" s="4" t="s">
        <v>6</v>
      </c>
      <c r="D22" s="4" t="s">
        <v>7</v>
      </c>
      <c r="E22" s="4">
        <v>35</v>
      </c>
    </row>
    <row r="23" spans="1:5" x14ac:dyDescent="0.25">
      <c r="A23" s="11">
        <v>45658</v>
      </c>
      <c r="B23" s="4" t="s">
        <v>38</v>
      </c>
      <c r="C23" s="4" t="s">
        <v>24</v>
      </c>
      <c r="D23" s="4" t="s">
        <v>25</v>
      </c>
      <c r="E23" s="4">
        <v>47</v>
      </c>
    </row>
    <row r="24" spans="1:5" x14ac:dyDescent="0.25">
      <c r="A24" s="11">
        <v>45658</v>
      </c>
      <c r="B24" s="4" t="s">
        <v>38</v>
      </c>
      <c r="C24" s="4" t="s">
        <v>28</v>
      </c>
      <c r="D24" s="4" t="s">
        <v>29</v>
      </c>
      <c r="E24" s="4">
        <v>55</v>
      </c>
    </row>
    <row r="25" spans="1:5" x14ac:dyDescent="0.25">
      <c r="A25" s="11">
        <v>45658</v>
      </c>
      <c r="B25" s="4" t="s">
        <v>38</v>
      </c>
      <c r="C25" s="4" t="s">
        <v>14</v>
      </c>
      <c r="D25" s="4" t="s">
        <v>15</v>
      </c>
      <c r="E25" s="4">
        <v>21</v>
      </c>
    </row>
    <row r="26" spans="1:5" x14ac:dyDescent="0.25">
      <c r="A26" s="11">
        <v>45658</v>
      </c>
      <c r="B26" s="4" t="s">
        <v>38</v>
      </c>
      <c r="C26" s="4" t="s">
        <v>4</v>
      </c>
      <c r="D26" s="4" t="s">
        <v>5</v>
      </c>
      <c r="E26" s="4">
        <v>18</v>
      </c>
    </row>
    <row r="27" spans="1:5" x14ac:dyDescent="0.25">
      <c r="A27" s="11">
        <v>45658</v>
      </c>
      <c r="B27" s="4" t="s">
        <v>38</v>
      </c>
      <c r="C27" s="4" t="s">
        <v>8</v>
      </c>
      <c r="D27" s="4" t="s">
        <v>9</v>
      </c>
      <c r="E27" s="4">
        <v>29</v>
      </c>
    </row>
    <row r="28" spans="1:5" x14ac:dyDescent="0.25">
      <c r="A28" s="11">
        <v>45658</v>
      </c>
      <c r="B28" s="4" t="s">
        <v>38</v>
      </c>
      <c r="C28" s="4" t="s">
        <v>10</v>
      </c>
      <c r="D28" s="4" t="s">
        <v>11</v>
      </c>
      <c r="E28" s="4">
        <v>25</v>
      </c>
    </row>
    <row r="29" spans="1:5" x14ac:dyDescent="0.25">
      <c r="A29" s="11">
        <v>45658</v>
      </c>
      <c r="B29" s="4" t="s">
        <v>38</v>
      </c>
      <c r="C29" s="4" t="s">
        <v>16</v>
      </c>
      <c r="D29" s="4" t="s">
        <v>17</v>
      </c>
      <c r="E29" s="4">
        <v>39</v>
      </c>
    </row>
    <row r="30" spans="1:5" x14ac:dyDescent="0.25">
      <c r="A30" s="11">
        <v>45658</v>
      </c>
      <c r="B30" s="4" t="s">
        <v>38</v>
      </c>
      <c r="C30" s="4" t="s">
        <v>12</v>
      </c>
      <c r="D30" s="4" t="s">
        <v>13</v>
      </c>
      <c r="E30" s="4">
        <v>17</v>
      </c>
    </row>
    <row r="31" spans="1:5" x14ac:dyDescent="0.25">
      <c r="A31" s="11">
        <v>45658</v>
      </c>
      <c r="B31" s="4" t="s">
        <v>38</v>
      </c>
      <c r="C31" s="4" t="s">
        <v>32</v>
      </c>
      <c r="D31" s="4" t="s">
        <v>33</v>
      </c>
      <c r="E31" s="4">
        <v>24</v>
      </c>
    </row>
    <row r="32" spans="1:5" x14ac:dyDescent="0.25">
      <c r="A32" s="11">
        <v>45658</v>
      </c>
      <c r="B32" s="4" t="s">
        <v>37</v>
      </c>
      <c r="C32" s="4" t="s">
        <v>18</v>
      </c>
      <c r="D32" s="4" t="s">
        <v>19</v>
      </c>
      <c r="E32" s="4">
        <v>49</v>
      </c>
    </row>
    <row r="33" spans="1:5" x14ac:dyDescent="0.25">
      <c r="A33" s="11">
        <v>45658</v>
      </c>
      <c r="B33" s="4" t="s">
        <v>37</v>
      </c>
      <c r="C33" s="4" t="s">
        <v>30</v>
      </c>
      <c r="D33" s="4" t="s">
        <v>31</v>
      </c>
      <c r="E33" s="4">
        <v>25</v>
      </c>
    </row>
    <row r="34" spans="1:5" x14ac:dyDescent="0.25">
      <c r="A34" s="11">
        <v>45658</v>
      </c>
      <c r="B34" s="4" t="s">
        <v>37</v>
      </c>
      <c r="C34" s="4" t="s">
        <v>20</v>
      </c>
      <c r="D34" s="4" t="s">
        <v>21</v>
      </c>
      <c r="E34" s="4">
        <v>42</v>
      </c>
    </row>
    <row r="35" spans="1:5" x14ac:dyDescent="0.25">
      <c r="A35" s="11">
        <v>45658</v>
      </c>
      <c r="B35" s="4" t="s">
        <v>37</v>
      </c>
      <c r="C35" s="4" t="s">
        <v>22</v>
      </c>
      <c r="D35" s="4" t="s">
        <v>23</v>
      </c>
      <c r="E35" s="4">
        <v>34</v>
      </c>
    </row>
    <row r="36" spans="1:5" x14ac:dyDescent="0.25">
      <c r="A36" s="11">
        <v>45658</v>
      </c>
      <c r="B36" s="4" t="s">
        <v>37</v>
      </c>
      <c r="C36" s="4" t="s">
        <v>26</v>
      </c>
      <c r="D36" s="4" t="s">
        <v>27</v>
      </c>
      <c r="E36" s="4">
        <v>47</v>
      </c>
    </row>
    <row r="37" spans="1:5" x14ac:dyDescent="0.25">
      <c r="A37" s="11">
        <v>45658</v>
      </c>
      <c r="B37" s="4" t="s">
        <v>37</v>
      </c>
      <c r="C37" s="4" t="s">
        <v>6</v>
      </c>
      <c r="D37" s="4" t="s">
        <v>7</v>
      </c>
      <c r="E37" s="4">
        <v>22</v>
      </c>
    </row>
    <row r="38" spans="1:5" x14ac:dyDescent="0.25">
      <c r="A38" s="11">
        <v>45658</v>
      </c>
      <c r="B38" s="4" t="s">
        <v>37</v>
      </c>
      <c r="C38" s="4" t="s">
        <v>24</v>
      </c>
      <c r="D38" s="4" t="s">
        <v>25</v>
      </c>
      <c r="E38" s="4">
        <v>22</v>
      </c>
    </row>
    <row r="39" spans="1:5" x14ac:dyDescent="0.25">
      <c r="A39" s="11">
        <v>45658</v>
      </c>
      <c r="B39" s="4" t="s">
        <v>37</v>
      </c>
      <c r="C39" s="4" t="s">
        <v>28</v>
      </c>
      <c r="D39" s="4" t="s">
        <v>29</v>
      </c>
      <c r="E39" s="4">
        <v>45</v>
      </c>
    </row>
    <row r="40" spans="1:5" x14ac:dyDescent="0.25">
      <c r="A40" s="11">
        <v>45658</v>
      </c>
      <c r="B40" s="4" t="s">
        <v>37</v>
      </c>
      <c r="C40" s="4" t="s">
        <v>14</v>
      </c>
      <c r="D40" s="4" t="s">
        <v>15</v>
      </c>
      <c r="E40" s="4">
        <v>43</v>
      </c>
    </row>
    <row r="41" spans="1:5" x14ac:dyDescent="0.25">
      <c r="A41" s="11">
        <v>45658</v>
      </c>
      <c r="B41" s="4" t="s">
        <v>37</v>
      </c>
      <c r="C41" s="4" t="s">
        <v>4</v>
      </c>
      <c r="D41" s="4" t="s">
        <v>5</v>
      </c>
      <c r="E41" s="4">
        <v>21</v>
      </c>
    </row>
    <row r="42" spans="1:5" x14ac:dyDescent="0.25">
      <c r="A42" s="11">
        <v>45658</v>
      </c>
      <c r="B42" s="4" t="s">
        <v>37</v>
      </c>
      <c r="C42" s="4" t="s">
        <v>8</v>
      </c>
      <c r="D42" s="4" t="s">
        <v>9</v>
      </c>
      <c r="E42" s="4">
        <v>40</v>
      </c>
    </row>
    <row r="43" spans="1:5" x14ac:dyDescent="0.25">
      <c r="A43" s="11">
        <v>45658</v>
      </c>
      <c r="B43" s="4" t="s">
        <v>37</v>
      </c>
      <c r="C43" s="4" t="s">
        <v>10</v>
      </c>
      <c r="D43" s="4" t="s">
        <v>11</v>
      </c>
      <c r="E43" s="4">
        <v>46</v>
      </c>
    </row>
    <row r="44" spans="1:5" x14ac:dyDescent="0.25">
      <c r="A44" s="11">
        <v>45658</v>
      </c>
      <c r="B44" s="4" t="s">
        <v>37</v>
      </c>
      <c r="C44" s="4" t="s">
        <v>16</v>
      </c>
      <c r="D44" s="4" t="s">
        <v>17</v>
      </c>
      <c r="E44" s="4">
        <v>20</v>
      </c>
    </row>
    <row r="45" spans="1:5" x14ac:dyDescent="0.25">
      <c r="A45" s="11">
        <v>45658</v>
      </c>
      <c r="B45" s="4" t="s">
        <v>37</v>
      </c>
      <c r="C45" s="4" t="s">
        <v>12</v>
      </c>
      <c r="D45" s="4" t="s">
        <v>13</v>
      </c>
      <c r="E45" s="4">
        <v>9</v>
      </c>
    </row>
    <row r="46" spans="1:5" x14ac:dyDescent="0.25">
      <c r="A46" s="11">
        <v>45658</v>
      </c>
      <c r="B46" s="4" t="s">
        <v>37</v>
      </c>
      <c r="C46" s="4" t="s">
        <v>32</v>
      </c>
      <c r="D46" s="4" t="s">
        <v>33</v>
      </c>
      <c r="E46" s="4">
        <v>23</v>
      </c>
    </row>
    <row r="47" spans="1:5" x14ac:dyDescent="0.25">
      <c r="A47" s="11">
        <v>45658</v>
      </c>
      <c r="B47" s="4" t="s">
        <v>39</v>
      </c>
      <c r="C47" s="4" t="s">
        <v>18</v>
      </c>
      <c r="D47" s="4" t="s">
        <v>19</v>
      </c>
      <c r="E47" s="4">
        <v>26</v>
      </c>
    </row>
    <row r="48" spans="1:5" x14ac:dyDescent="0.25">
      <c r="A48" s="11">
        <v>45658</v>
      </c>
      <c r="B48" s="4" t="s">
        <v>39</v>
      </c>
      <c r="C48" s="4" t="s">
        <v>30</v>
      </c>
      <c r="D48" s="4" t="s">
        <v>31</v>
      </c>
      <c r="E48" s="4">
        <v>12</v>
      </c>
    </row>
    <row r="49" spans="1:5" x14ac:dyDescent="0.25">
      <c r="A49" s="11">
        <v>45658</v>
      </c>
      <c r="B49" s="4" t="s">
        <v>39</v>
      </c>
      <c r="C49" s="4" t="s">
        <v>20</v>
      </c>
      <c r="D49" s="4" t="s">
        <v>21</v>
      </c>
      <c r="E49" s="4">
        <v>48</v>
      </c>
    </row>
    <row r="50" spans="1:5" x14ac:dyDescent="0.25">
      <c r="A50" s="11">
        <v>45658</v>
      </c>
      <c r="B50" s="4" t="s">
        <v>39</v>
      </c>
      <c r="C50" s="4" t="s">
        <v>22</v>
      </c>
      <c r="D50" s="4" t="s">
        <v>23</v>
      </c>
      <c r="E50" s="4">
        <v>47</v>
      </c>
    </row>
    <row r="51" spans="1:5" x14ac:dyDescent="0.25">
      <c r="A51" s="11">
        <v>45658</v>
      </c>
      <c r="B51" s="4" t="s">
        <v>39</v>
      </c>
      <c r="C51" s="4" t="s">
        <v>26</v>
      </c>
      <c r="D51" s="4" t="s">
        <v>27</v>
      </c>
      <c r="E51" s="4">
        <v>44</v>
      </c>
    </row>
    <row r="52" spans="1:5" x14ac:dyDescent="0.25">
      <c r="A52" s="11">
        <v>45658</v>
      </c>
      <c r="B52" s="4" t="s">
        <v>39</v>
      </c>
      <c r="C52" s="4" t="s">
        <v>6</v>
      </c>
      <c r="D52" s="4" t="s">
        <v>7</v>
      </c>
      <c r="E52" s="4">
        <v>37</v>
      </c>
    </row>
    <row r="53" spans="1:5" x14ac:dyDescent="0.25">
      <c r="A53" s="11">
        <v>45658</v>
      </c>
      <c r="B53" s="4" t="s">
        <v>39</v>
      </c>
      <c r="C53" s="4" t="s">
        <v>24</v>
      </c>
      <c r="D53" s="4" t="s">
        <v>25</v>
      </c>
      <c r="E53" s="4">
        <v>31</v>
      </c>
    </row>
    <row r="54" spans="1:5" x14ac:dyDescent="0.25">
      <c r="A54" s="11">
        <v>45658</v>
      </c>
      <c r="B54" s="4" t="s">
        <v>39</v>
      </c>
      <c r="C54" s="4" t="s">
        <v>28</v>
      </c>
      <c r="D54" s="4" t="s">
        <v>29</v>
      </c>
      <c r="E54" s="4">
        <v>20</v>
      </c>
    </row>
    <row r="55" spans="1:5" x14ac:dyDescent="0.25">
      <c r="A55" s="11">
        <v>45658</v>
      </c>
      <c r="B55" s="4" t="s">
        <v>39</v>
      </c>
      <c r="C55" s="4" t="s">
        <v>14</v>
      </c>
      <c r="D55" s="4" t="s">
        <v>15</v>
      </c>
      <c r="E55" s="4">
        <v>13</v>
      </c>
    </row>
    <row r="56" spans="1:5" x14ac:dyDescent="0.25">
      <c r="A56" s="11">
        <v>45658</v>
      </c>
      <c r="B56" s="4" t="s">
        <v>39</v>
      </c>
      <c r="C56" s="4" t="s">
        <v>4</v>
      </c>
      <c r="D56" s="4" t="s">
        <v>5</v>
      </c>
      <c r="E56" s="4">
        <v>12</v>
      </c>
    </row>
    <row r="57" spans="1:5" x14ac:dyDescent="0.25">
      <c r="A57" s="11">
        <v>45658</v>
      </c>
      <c r="B57" s="4" t="s">
        <v>39</v>
      </c>
      <c r="C57" s="4" t="s">
        <v>8</v>
      </c>
      <c r="D57" s="4" t="s">
        <v>9</v>
      </c>
      <c r="E57" s="4">
        <v>42</v>
      </c>
    </row>
    <row r="58" spans="1:5" x14ac:dyDescent="0.25">
      <c r="A58" s="11">
        <v>45658</v>
      </c>
      <c r="B58" s="4" t="s">
        <v>39</v>
      </c>
      <c r="C58" s="4" t="s">
        <v>10</v>
      </c>
      <c r="D58" s="4" t="s">
        <v>11</v>
      </c>
      <c r="E58" s="4">
        <v>15</v>
      </c>
    </row>
    <row r="59" spans="1:5" x14ac:dyDescent="0.25">
      <c r="A59" s="11">
        <v>45658</v>
      </c>
      <c r="B59" s="4" t="s">
        <v>39</v>
      </c>
      <c r="C59" s="4" t="s">
        <v>16</v>
      </c>
      <c r="D59" s="4" t="s">
        <v>17</v>
      </c>
      <c r="E59" s="4">
        <v>60</v>
      </c>
    </row>
    <row r="60" spans="1:5" x14ac:dyDescent="0.25">
      <c r="A60" s="11">
        <v>45658</v>
      </c>
      <c r="B60" s="4" t="s">
        <v>39</v>
      </c>
      <c r="C60" s="4" t="s">
        <v>12</v>
      </c>
      <c r="D60" s="4" t="s">
        <v>13</v>
      </c>
      <c r="E60" s="4">
        <v>32</v>
      </c>
    </row>
    <row r="61" spans="1:5" x14ac:dyDescent="0.25">
      <c r="A61" s="11">
        <v>45658</v>
      </c>
      <c r="B61" s="4" t="s">
        <v>39</v>
      </c>
      <c r="C61" s="4" t="s">
        <v>32</v>
      </c>
      <c r="D61" s="4" t="s">
        <v>33</v>
      </c>
      <c r="E61" s="4">
        <v>10</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99"/>
  <sheetViews>
    <sheetView workbookViewId="0">
      <pane ySplit="1" topLeftCell="A81" activePane="bottomLeft" state="frozen"/>
      <selection pane="bottomLeft" activeCell="A97" sqref="A97:XFD97"/>
    </sheetView>
  </sheetViews>
  <sheetFormatPr defaultRowHeight="15" x14ac:dyDescent="0.25"/>
  <cols>
    <col min="1" max="1" width="14" style="12" customWidth="1"/>
    <col min="2" max="2" width="14" customWidth="1"/>
    <col min="3" max="3" width="10" customWidth="1"/>
    <col min="4" max="4" width="38" customWidth="1"/>
    <col min="5" max="5" width="10" customWidth="1"/>
  </cols>
  <sheetData>
    <row r="1" spans="1:5" x14ac:dyDescent="0.25">
      <c r="A1" s="10" t="s">
        <v>34</v>
      </c>
      <c r="B1" s="3" t="s">
        <v>3</v>
      </c>
      <c r="C1" s="3" t="s">
        <v>1</v>
      </c>
      <c r="D1" s="3" t="s">
        <v>2</v>
      </c>
      <c r="E1" s="3" t="s">
        <v>35</v>
      </c>
    </row>
    <row r="2" spans="1:5" x14ac:dyDescent="0.25">
      <c r="A2" s="11">
        <v>45661</v>
      </c>
      <c r="B2" s="4" t="s">
        <v>37</v>
      </c>
      <c r="C2" s="4" t="s">
        <v>22</v>
      </c>
      <c r="D2" s="4" t="s">
        <v>23</v>
      </c>
      <c r="E2" s="4">
        <v>8</v>
      </c>
    </row>
    <row r="3" spans="1:5" x14ac:dyDescent="0.25">
      <c r="A3" s="11">
        <v>45665</v>
      </c>
      <c r="B3" s="4" t="s">
        <v>36</v>
      </c>
      <c r="C3" s="4" t="s">
        <v>24</v>
      </c>
      <c r="D3" s="4" t="s">
        <v>25</v>
      </c>
      <c r="E3" s="4">
        <v>18</v>
      </c>
    </row>
    <row r="4" spans="1:5" x14ac:dyDescent="0.25">
      <c r="A4" s="11">
        <v>45678</v>
      </c>
      <c r="B4" s="4" t="s">
        <v>37</v>
      </c>
      <c r="C4" s="4" t="s">
        <v>22</v>
      </c>
      <c r="D4" s="4" t="s">
        <v>23</v>
      </c>
      <c r="E4" s="4">
        <v>20</v>
      </c>
    </row>
    <row r="5" spans="1:5" x14ac:dyDescent="0.25">
      <c r="A5" s="11">
        <v>45679</v>
      </c>
      <c r="B5" s="4" t="s">
        <v>37</v>
      </c>
      <c r="C5" s="4" t="s">
        <v>16</v>
      </c>
      <c r="D5" s="4" t="s">
        <v>17</v>
      </c>
      <c r="E5" s="4">
        <v>5</v>
      </c>
    </row>
    <row r="6" spans="1:5" x14ac:dyDescent="0.25">
      <c r="A6" s="11">
        <v>45682</v>
      </c>
      <c r="B6" s="4" t="s">
        <v>39</v>
      </c>
      <c r="C6" s="4" t="s">
        <v>6</v>
      </c>
      <c r="D6" s="4" t="s">
        <v>7</v>
      </c>
      <c r="E6" s="4">
        <v>25</v>
      </c>
    </row>
    <row r="7" spans="1:5" x14ac:dyDescent="0.25">
      <c r="A7" s="11">
        <v>45685</v>
      </c>
      <c r="B7" s="4" t="s">
        <v>39</v>
      </c>
      <c r="C7" s="4" t="s">
        <v>30</v>
      </c>
      <c r="D7" s="4" t="s">
        <v>31</v>
      </c>
      <c r="E7" s="4">
        <v>24</v>
      </c>
    </row>
    <row r="8" spans="1:5" x14ac:dyDescent="0.25">
      <c r="A8" s="11">
        <v>45686</v>
      </c>
      <c r="B8" s="4" t="s">
        <v>37</v>
      </c>
      <c r="C8" s="4" t="s">
        <v>24</v>
      </c>
      <c r="D8" s="4" t="s">
        <v>25</v>
      </c>
      <c r="E8" s="4">
        <v>11</v>
      </c>
    </row>
    <row r="9" spans="1:5" x14ac:dyDescent="0.25">
      <c r="A9" s="11">
        <v>45687</v>
      </c>
      <c r="B9" s="4" t="s">
        <v>36</v>
      </c>
      <c r="C9" s="4" t="s">
        <v>26</v>
      </c>
      <c r="D9" s="4" t="s">
        <v>27</v>
      </c>
      <c r="E9" s="4">
        <v>11</v>
      </c>
    </row>
    <row r="10" spans="1:5" x14ac:dyDescent="0.25">
      <c r="A10" s="11">
        <v>45688</v>
      </c>
      <c r="B10" s="4" t="s">
        <v>37</v>
      </c>
      <c r="C10" s="4" t="s">
        <v>30</v>
      </c>
      <c r="D10" s="4" t="s">
        <v>31</v>
      </c>
      <c r="E10" s="4">
        <v>13</v>
      </c>
    </row>
    <row r="11" spans="1:5" x14ac:dyDescent="0.25">
      <c r="A11" s="11">
        <v>45688</v>
      </c>
      <c r="B11" s="4" t="s">
        <v>36</v>
      </c>
      <c r="C11" s="4" t="s">
        <v>26</v>
      </c>
      <c r="D11" s="4" t="s">
        <v>27</v>
      </c>
      <c r="E11" s="4">
        <v>21</v>
      </c>
    </row>
    <row r="12" spans="1:5" x14ac:dyDescent="0.25">
      <c r="A12" s="11">
        <v>45690</v>
      </c>
      <c r="B12" s="4" t="s">
        <v>36</v>
      </c>
      <c r="C12" s="4" t="s">
        <v>10</v>
      </c>
      <c r="D12" s="4" t="s">
        <v>11</v>
      </c>
      <c r="E12" s="4">
        <v>8</v>
      </c>
    </row>
    <row r="13" spans="1:5" x14ac:dyDescent="0.25">
      <c r="A13" s="11">
        <v>45692</v>
      </c>
      <c r="B13" s="4" t="s">
        <v>37</v>
      </c>
      <c r="C13" s="4" t="s">
        <v>6</v>
      </c>
      <c r="D13" s="4" t="s">
        <v>7</v>
      </c>
      <c r="E13" s="4">
        <v>20</v>
      </c>
    </row>
    <row r="14" spans="1:5" x14ac:dyDescent="0.25">
      <c r="A14" s="11">
        <v>45693</v>
      </c>
      <c r="B14" s="4" t="s">
        <v>38</v>
      </c>
      <c r="C14" s="4" t="s">
        <v>8</v>
      </c>
      <c r="D14" s="4" t="s">
        <v>9</v>
      </c>
      <c r="E14" s="4">
        <v>12</v>
      </c>
    </row>
    <row r="15" spans="1:5" x14ac:dyDescent="0.25">
      <c r="A15" s="11">
        <v>45695</v>
      </c>
      <c r="B15" s="4" t="s">
        <v>39</v>
      </c>
      <c r="C15" s="4" t="s">
        <v>14</v>
      </c>
      <c r="D15" s="4" t="s">
        <v>15</v>
      </c>
      <c r="E15" s="4">
        <v>25</v>
      </c>
    </row>
    <row r="16" spans="1:5" x14ac:dyDescent="0.25">
      <c r="A16" s="11">
        <v>45696</v>
      </c>
      <c r="B16" s="4" t="s">
        <v>38</v>
      </c>
      <c r="C16" s="4" t="s">
        <v>18</v>
      </c>
      <c r="D16" s="4" t="s">
        <v>19</v>
      </c>
      <c r="E16" s="4">
        <v>8</v>
      </c>
    </row>
    <row r="17" spans="1:5" x14ac:dyDescent="0.25">
      <c r="A17" s="11">
        <v>45698</v>
      </c>
      <c r="B17" s="4" t="s">
        <v>37</v>
      </c>
      <c r="C17" s="4" t="s">
        <v>28</v>
      </c>
      <c r="D17" s="4" t="s">
        <v>29</v>
      </c>
      <c r="E17" s="4">
        <v>10</v>
      </c>
    </row>
    <row r="18" spans="1:5" x14ac:dyDescent="0.25">
      <c r="A18" s="11">
        <v>45699</v>
      </c>
      <c r="B18" s="4" t="s">
        <v>37</v>
      </c>
      <c r="C18" s="4" t="s">
        <v>4</v>
      </c>
      <c r="D18" s="4" t="s">
        <v>5</v>
      </c>
      <c r="E18" s="4">
        <v>17</v>
      </c>
    </row>
    <row r="19" spans="1:5" x14ac:dyDescent="0.25">
      <c r="A19" s="11">
        <v>45708</v>
      </c>
      <c r="B19" s="4" t="s">
        <v>39</v>
      </c>
      <c r="C19" s="4" t="s">
        <v>28</v>
      </c>
      <c r="D19" s="4" t="s">
        <v>29</v>
      </c>
      <c r="E19" s="4">
        <v>18</v>
      </c>
    </row>
    <row r="20" spans="1:5" x14ac:dyDescent="0.25">
      <c r="A20" s="11">
        <v>45722</v>
      </c>
      <c r="B20" s="4" t="s">
        <v>36</v>
      </c>
      <c r="C20" s="4" t="s">
        <v>28</v>
      </c>
      <c r="D20" s="4" t="s">
        <v>29</v>
      </c>
      <c r="E20" s="4">
        <v>18</v>
      </c>
    </row>
    <row r="21" spans="1:5" x14ac:dyDescent="0.25">
      <c r="A21" s="11">
        <v>45725</v>
      </c>
      <c r="B21" s="4" t="s">
        <v>39</v>
      </c>
      <c r="C21" s="4" t="s">
        <v>10</v>
      </c>
      <c r="D21" s="4" t="s">
        <v>11</v>
      </c>
      <c r="E21" s="4">
        <v>18</v>
      </c>
    </row>
    <row r="22" spans="1:5" x14ac:dyDescent="0.25">
      <c r="A22" s="11">
        <v>45728</v>
      </c>
      <c r="B22" s="4" t="s">
        <v>39</v>
      </c>
      <c r="C22" s="4" t="s">
        <v>14</v>
      </c>
      <c r="D22" s="4" t="s">
        <v>15</v>
      </c>
      <c r="E22" s="4">
        <v>8</v>
      </c>
    </row>
    <row r="23" spans="1:5" x14ac:dyDescent="0.25">
      <c r="A23" s="11">
        <v>45738</v>
      </c>
      <c r="B23" s="4" t="s">
        <v>37</v>
      </c>
      <c r="C23" s="4" t="s">
        <v>14</v>
      </c>
      <c r="D23" s="4" t="s">
        <v>15</v>
      </c>
      <c r="E23" s="4">
        <v>10</v>
      </c>
    </row>
    <row r="24" spans="1:5" x14ac:dyDescent="0.25">
      <c r="A24" s="11">
        <v>45739</v>
      </c>
      <c r="B24" s="4" t="s">
        <v>36</v>
      </c>
      <c r="C24" s="4" t="s">
        <v>8</v>
      </c>
      <c r="D24" s="4" t="s">
        <v>9</v>
      </c>
      <c r="E24" s="4">
        <v>21</v>
      </c>
    </row>
    <row r="25" spans="1:5" x14ac:dyDescent="0.25">
      <c r="A25" s="11">
        <v>45740</v>
      </c>
      <c r="B25" s="4" t="s">
        <v>37</v>
      </c>
      <c r="C25" s="4" t="s">
        <v>24</v>
      </c>
      <c r="D25" s="4" t="s">
        <v>25</v>
      </c>
      <c r="E25" s="4">
        <v>9</v>
      </c>
    </row>
    <row r="26" spans="1:5" x14ac:dyDescent="0.25">
      <c r="A26" s="11">
        <v>45740</v>
      </c>
      <c r="B26" s="4" t="s">
        <v>37</v>
      </c>
      <c r="C26" s="4" t="s">
        <v>8</v>
      </c>
      <c r="D26" s="4" t="s">
        <v>9</v>
      </c>
      <c r="E26" s="4">
        <v>12</v>
      </c>
    </row>
    <row r="27" spans="1:5" x14ac:dyDescent="0.25">
      <c r="A27" s="11">
        <v>45745</v>
      </c>
      <c r="B27" s="4" t="s">
        <v>36</v>
      </c>
      <c r="C27" s="4" t="s">
        <v>22</v>
      </c>
      <c r="D27" s="4" t="s">
        <v>23</v>
      </c>
      <c r="E27" s="4">
        <v>21</v>
      </c>
    </row>
    <row r="28" spans="1:5" x14ac:dyDescent="0.25">
      <c r="A28" s="11">
        <v>45751</v>
      </c>
      <c r="B28" s="4" t="s">
        <v>39</v>
      </c>
      <c r="C28" s="4" t="s">
        <v>8</v>
      </c>
      <c r="D28" s="4" t="s">
        <v>9</v>
      </c>
      <c r="E28" s="4">
        <v>14</v>
      </c>
    </row>
    <row r="29" spans="1:5" x14ac:dyDescent="0.25">
      <c r="A29" s="11">
        <v>45755</v>
      </c>
      <c r="B29" s="4" t="s">
        <v>36</v>
      </c>
      <c r="C29" s="4" t="s">
        <v>10</v>
      </c>
      <c r="D29" s="4" t="s">
        <v>11</v>
      </c>
      <c r="E29" s="4">
        <v>7</v>
      </c>
    </row>
    <row r="30" spans="1:5" x14ac:dyDescent="0.25">
      <c r="A30" s="11">
        <v>45762</v>
      </c>
      <c r="B30" s="4" t="s">
        <v>37</v>
      </c>
      <c r="C30" s="4" t="s">
        <v>26</v>
      </c>
      <c r="D30" s="4" t="s">
        <v>27</v>
      </c>
      <c r="E30" s="4">
        <v>11</v>
      </c>
    </row>
    <row r="31" spans="1:5" x14ac:dyDescent="0.25">
      <c r="A31" s="11">
        <v>45762</v>
      </c>
      <c r="B31" s="4" t="s">
        <v>38</v>
      </c>
      <c r="C31" s="4" t="s">
        <v>32</v>
      </c>
      <c r="D31" s="4" t="s">
        <v>33</v>
      </c>
      <c r="E31" s="4">
        <v>9</v>
      </c>
    </row>
    <row r="32" spans="1:5" x14ac:dyDescent="0.25">
      <c r="A32" s="11">
        <v>45765</v>
      </c>
      <c r="B32" s="4" t="s">
        <v>37</v>
      </c>
      <c r="C32" s="4" t="s">
        <v>14</v>
      </c>
      <c r="D32" s="4" t="s">
        <v>15</v>
      </c>
      <c r="E32" s="4">
        <v>12</v>
      </c>
    </row>
    <row r="33" spans="1:5" x14ac:dyDescent="0.25">
      <c r="A33" s="11">
        <v>45766</v>
      </c>
      <c r="B33" s="4" t="s">
        <v>39</v>
      </c>
      <c r="C33" s="4" t="s">
        <v>12</v>
      </c>
      <c r="D33" s="4" t="s">
        <v>13</v>
      </c>
      <c r="E33" s="4">
        <v>3</v>
      </c>
    </row>
    <row r="34" spans="1:5" x14ac:dyDescent="0.25">
      <c r="A34" s="11">
        <v>45767</v>
      </c>
      <c r="B34" s="4" t="s">
        <v>36</v>
      </c>
      <c r="C34" s="4" t="s">
        <v>6</v>
      </c>
      <c r="D34" s="4" t="s">
        <v>7</v>
      </c>
      <c r="E34" s="4">
        <v>18</v>
      </c>
    </row>
    <row r="35" spans="1:5" x14ac:dyDescent="0.25">
      <c r="A35" s="11">
        <v>45779</v>
      </c>
      <c r="B35" s="4" t="s">
        <v>36</v>
      </c>
      <c r="C35" s="4" t="s">
        <v>32</v>
      </c>
      <c r="D35" s="4" t="s">
        <v>33</v>
      </c>
      <c r="E35" s="4">
        <v>25</v>
      </c>
    </row>
    <row r="36" spans="1:5" x14ac:dyDescent="0.25">
      <c r="A36" s="11">
        <v>45784</v>
      </c>
      <c r="B36" s="4" t="s">
        <v>37</v>
      </c>
      <c r="C36" s="4" t="s">
        <v>12</v>
      </c>
      <c r="D36" s="4" t="s">
        <v>13</v>
      </c>
      <c r="E36" s="4">
        <v>5</v>
      </c>
    </row>
    <row r="37" spans="1:5" x14ac:dyDescent="0.25">
      <c r="A37" s="11">
        <v>45786</v>
      </c>
      <c r="B37" s="4" t="s">
        <v>38</v>
      </c>
      <c r="C37" s="4" t="s">
        <v>20</v>
      </c>
      <c r="D37" s="4" t="s">
        <v>21</v>
      </c>
      <c r="E37" s="4">
        <v>16</v>
      </c>
    </row>
    <row r="38" spans="1:5" x14ac:dyDescent="0.25">
      <c r="A38" s="11">
        <v>45792</v>
      </c>
      <c r="B38" s="4" t="s">
        <v>37</v>
      </c>
      <c r="C38" s="4" t="s">
        <v>18</v>
      </c>
      <c r="D38" s="4" t="s">
        <v>19</v>
      </c>
      <c r="E38" s="4">
        <v>1</v>
      </c>
    </row>
    <row r="39" spans="1:5" x14ac:dyDescent="0.25">
      <c r="A39" s="11">
        <v>45793</v>
      </c>
      <c r="B39" s="4" t="s">
        <v>36</v>
      </c>
      <c r="C39" s="4" t="s">
        <v>32</v>
      </c>
      <c r="D39" s="4" t="s">
        <v>33</v>
      </c>
      <c r="E39" s="4">
        <v>5</v>
      </c>
    </row>
    <row r="40" spans="1:5" x14ac:dyDescent="0.25">
      <c r="A40" s="11">
        <v>45794</v>
      </c>
      <c r="B40" s="4" t="s">
        <v>36</v>
      </c>
      <c r="C40" s="4" t="s">
        <v>24</v>
      </c>
      <c r="D40" s="4" t="s">
        <v>25</v>
      </c>
      <c r="E40" s="4">
        <v>18</v>
      </c>
    </row>
    <row r="41" spans="1:5" x14ac:dyDescent="0.25">
      <c r="A41" s="11">
        <v>45800</v>
      </c>
      <c r="B41" s="4" t="s">
        <v>36</v>
      </c>
      <c r="C41" s="4" t="s">
        <v>20</v>
      </c>
      <c r="D41" s="4" t="s">
        <v>21</v>
      </c>
      <c r="E41" s="4">
        <v>8</v>
      </c>
    </row>
    <row r="42" spans="1:5" x14ac:dyDescent="0.25">
      <c r="A42" s="11">
        <v>45804</v>
      </c>
      <c r="B42" s="4" t="s">
        <v>38</v>
      </c>
      <c r="C42" s="4" t="s">
        <v>32</v>
      </c>
      <c r="D42" s="4" t="s">
        <v>33</v>
      </c>
      <c r="E42" s="4">
        <v>15</v>
      </c>
    </row>
    <row r="43" spans="1:5" x14ac:dyDescent="0.25">
      <c r="A43" s="11">
        <v>45809</v>
      </c>
      <c r="B43" s="4" t="s">
        <v>39</v>
      </c>
      <c r="C43" s="4" t="s">
        <v>8</v>
      </c>
      <c r="D43" s="4" t="s">
        <v>9</v>
      </c>
      <c r="E43" s="4">
        <v>7</v>
      </c>
    </row>
    <row r="44" spans="1:5" x14ac:dyDescent="0.25">
      <c r="A44" s="11">
        <v>45811</v>
      </c>
      <c r="B44" s="4" t="s">
        <v>36</v>
      </c>
      <c r="C44" s="4" t="s">
        <v>24</v>
      </c>
      <c r="D44" s="4" t="s">
        <v>25</v>
      </c>
      <c r="E44" s="4">
        <v>18</v>
      </c>
    </row>
    <row r="45" spans="1:5" x14ac:dyDescent="0.25">
      <c r="A45" s="11">
        <v>45811</v>
      </c>
      <c r="B45" s="4" t="s">
        <v>37</v>
      </c>
      <c r="C45" s="4" t="s">
        <v>24</v>
      </c>
      <c r="D45" s="4" t="s">
        <v>25</v>
      </c>
      <c r="E45" s="4">
        <v>21</v>
      </c>
    </row>
    <row r="46" spans="1:5" x14ac:dyDescent="0.25">
      <c r="A46" s="11">
        <v>45815</v>
      </c>
      <c r="B46" s="4" t="s">
        <v>36</v>
      </c>
      <c r="C46" s="4" t="s">
        <v>6</v>
      </c>
      <c r="D46" s="4" t="s">
        <v>7</v>
      </c>
      <c r="E46" s="4">
        <v>12</v>
      </c>
    </row>
    <row r="47" spans="1:5" x14ac:dyDescent="0.25">
      <c r="A47" s="11">
        <v>45819</v>
      </c>
      <c r="B47" s="4" t="s">
        <v>37</v>
      </c>
      <c r="C47" s="4" t="s">
        <v>30</v>
      </c>
      <c r="D47" s="4" t="s">
        <v>31</v>
      </c>
      <c r="E47" s="4">
        <v>2</v>
      </c>
    </row>
    <row r="48" spans="1:5" x14ac:dyDescent="0.25">
      <c r="A48" s="11">
        <v>45827</v>
      </c>
      <c r="B48" s="4" t="s">
        <v>37</v>
      </c>
      <c r="C48" s="4" t="s">
        <v>6</v>
      </c>
      <c r="D48" s="4" t="s">
        <v>7</v>
      </c>
      <c r="E48" s="4">
        <v>2</v>
      </c>
    </row>
    <row r="49" spans="1:5" x14ac:dyDescent="0.25">
      <c r="A49" s="11">
        <v>45828</v>
      </c>
      <c r="B49" s="4" t="s">
        <v>38</v>
      </c>
      <c r="C49" s="4" t="s">
        <v>4</v>
      </c>
      <c r="D49" s="4" t="s">
        <v>5</v>
      </c>
      <c r="E49" s="4">
        <v>1</v>
      </c>
    </row>
    <row r="50" spans="1:5" x14ac:dyDescent="0.25">
      <c r="A50" s="11">
        <v>45831</v>
      </c>
      <c r="B50" s="4" t="s">
        <v>36</v>
      </c>
      <c r="C50" s="4" t="s">
        <v>4</v>
      </c>
      <c r="D50" s="4" t="s">
        <v>5</v>
      </c>
      <c r="E50" s="4">
        <v>13</v>
      </c>
    </row>
    <row r="51" spans="1:5" x14ac:dyDescent="0.25">
      <c r="A51" s="11">
        <v>45841</v>
      </c>
      <c r="B51" s="4" t="s">
        <v>38</v>
      </c>
      <c r="C51" s="4" t="s">
        <v>14</v>
      </c>
      <c r="D51" s="4" t="s">
        <v>15</v>
      </c>
      <c r="E51" s="4">
        <v>2</v>
      </c>
    </row>
    <row r="52" spans="1:5" x14ac:dyDescent="0.25">
      <c r="A52" s="11">
        <v>45844</v>
      </c>
      <c r="B52" s="4" t="s">
        <v>38</v>
      </c>
      <c r="C52" s="4" t="s">
        <v>18</v>
      </c>
      <c r="D52" s="4" t="s">
        <v>19</v>
      </c>
      <c r="E52" s="4">
        <v>21</v>
      </c>
    </row>
    <row r="53" spans="1:5" x14ac:dyDescent="0.25">
      <c r="A53" s="11">
        <v>45847</v>
      </c>
      <c r="B53" s="4" t="s">
        <v>37</v>
      </c>
      <c r="C53" s="4" t="s">
        <v>20</v>
      </c>
      <c r="D53" s="4" t="s">
        <v>21</v>
      </c>
      <c r="E53" s="4">
        <v>2</v>
      </c>
    </row>
    <row r="54" spans="1:5" x14ac:dyDescent="0.25">
      <c r="A54" s="11">
        <v>45852</v>
      </c>
      <c r="B54" s="4" t="s">
        <v>37</v>
      </c>
      <c r="C54" s="4" t="s">
        <v>30</v>
      </c>
      <c r="D54" s="4" t="s">
        <v>31</v>
      </c>
      <c r="E54" s="4">
        <v>4</v>
      </c>
    </row>
    <row r="55" spans="1:5" x14ac:dyDescent="0.25">
      <c r="A55" s="11">
        <v>45852</v>
      </c>
      <c r="B55" s="4" t="s">
        <v>37</v>
      </c>
      <c r="C55" s="4" t="s">
        <v>8</v>
      </c>
      <c r="D55" s="4" t="s">
        <v>9</v>
      </c>
      <c r="E55" s="4">
        <v>15</v>
      </c>
    </row>
    <row r="56" spans="1:5" x14ac:dyDescent="0.25">
      <c r="A56" s="11">
        <v>45855</v>
      </c>
      <c r="B56" s="4" t="s">
        <v>39</v>
      </c>
      <c r="C56" s="4" t="s">
        <v>22</v>
      </c>
      <c r="D56" s="4" t="s">
        <v>23</v>
      </c>
      <c r="E56" s="4">
        <v>3</v>
      </c>
    </row>
    <row r="57" spans="1:5" x14ac:dyDescent="0.25">
      <c r="A57" s="11">
        <v>45857</v>
      </c>
      <c r="B57" s="4" t="s">
        <v>37</v>
      </c>
      <c r="C57" s="4" t="s">
        <v>16</v>
      </c>
      <c r="D57" s="4" t="s">
        <v>17</v>
      </c>
      <c r="E57" s="4">
        <v>1</v>
      </c>
    </row>
    <row r="58" spans="1:5" x14ac:dyDescent="0.25">
      <c r="A58" s="11">
        <v>45860</v>
      </c>
      <c r="B58" s="4" t="s">
        <v>38</v>
      </c>
      <c r="C58" s="4" t="s">
        <v>10</v>
      </c>
      <c r="D58" s="4" t="s">
        <v>11</v>
      </c>
      <c r="E58" s="4">
        <v>9</v>
      </c>
    </row>
    <row r="59" spans="1:5" x14ac:dyDescent="0.25">
      <c r="A59" s="11">
        <v>45862</v>
      </c>
      <c r="B59" s="4" t="s">
        <v>37</v>
      </c>
      <c r="C59" s="4" t="s">
        <v>26</v>
      </c>
      <c r="D59" s="4" t="s">
        <v>27</v>
      </c>
      <c r="E59" s="4">
        <v>10</v>
      </c>
    </row>
    <row r="60" spans="1:5" x14ac:dyDescent="0.25">
      <c r="A60" s="11">
        <v>45866</v>
      </c>
      <c r="B60" s="4" t="s">
        <v>39</v>
      </c>
      <c r="C60" s="4" t="s">
        <v>10</v>
      </c>
      <c r="D60" s="4" t="s">
        <v>11</v>
      </c>
      <c r="E60" s="4">
        <v>16</v>
      </c>
    </row>
    <row r="61" spans="1:5" x14ac:dyDescent="0.25">
      <c r="A61" s="11">
        <v>45868</v>
      </c>
      <c r="B61" s="4" t="s">
        <v>39</v>
      </c>
      <c r="C61" s="4" t="s">
        <v>14</v>
      </c>
      <c r="D61" s="4" t="s">
        <v>15</v>
      </c>
      <c r="E61" s="4">
        <v>14</v>
      </c>
    </row>
    <row r="62" spans="1:5" x14ac:dyDescent="0.25">
      <c r="A62" s="11">
        <v>45874</v>
      </c>
      <c r="B62" s="4" t="s">
        <v>36</v>
      </c>
      <c r="C62" s="4" t="s">
        <v>6</v>
      </c>
      <c r="D62" s="4" t="s">
        <v>7</v>
      </c>
      <c r="E62" s="4">
        <v>21</v>
      </c>
    </row>
    <row r="63" spans="1:5" x14ac:dyDescent="0.25">
      <c r="A63" s="11">
        <v>45876</v>
      </c>
      <c r="B63" s="4" t="s">
        <v>39</v>
      </c>
      <c r="C63" s="4" t="s">
        <v>20</v>
      </c>
      <c r="D63" s="4" t="s">
        <v>21</v>
      </c>
      <c r="E63" s="4">
        <v>23</v>
      </c>
    </row>
    <row r="64" spans="1:5" x14ac:dyDescent="0.25">
      <c r="A64" s="11">
        <v>45877</v>
      </c>
      <c r="B64" s="4" t="s">
        <v>38</v>
      </c>
      <c r="C64" s="4" t="s">
        <v>26</v>
      </c>
      <c r="D64" s="4" t="s">
        <v>27</v>
      </c>
      <c r="E64" s="4">
        <v>19</v>
      </c>
    </row>
    <row r="65" spans="1:5" x14ac:dyDescent="0.25">
      <c r="A65" s="11">
        <v>45880</v>
      </c>
      <c r="B65" s="4" t="s">
        <v>38</v>
      </c>
      <c r="C65" s="4" t="s">
        <v>6</v>
      </c>
      <c r="D65" s="4" t="s">
        <v>7</v>
      </c>
      <c r="E65" s="4">
        <v>10</v>
      </c>
    </row>
    <row r="66" spans="1:5" x14ac:dyDescent="0.25">
      <c r="A66" s="11">
        <v>45889</v>
      </c>
      <c r="B66" s="4" t="s">
        <v>38</v>
      </c>
      <c r="C66" s="4" t="s">
        <v>18</v>
      </c>
      <c r="D66" s="4" t="s">
        <v>19</v>
      </c>
      <c r="E66" s="4">
        <v>17</v>
      </c>
    </row>
    <row r="67" spans="1:5" x14ac:dyDescent="0.25">
      <c r="A67" s="11">
        <v>45892</v>
      </c>
      <c r="B67" s="4" t="s">
        <v>39</v>
      </c>
      <c r="C67" s="4" t="s">
        <v>32</v>
      </c>
      <c r="D67" s="4" t="s">
        <v>33</v>
      </c>
      <c r="E67" s="4">
        <v>21</v>
      </c>
    </row>
    <row r="68" spans="1:5" x14ac:dyDescent="0.25">
      <c r="A68" s="11">
        <v>45904</v>
      </c>
      <c r="B68" s="4" t="s">
        <v>37</v>
      </c>
      <c r="C68" s="4" t="s">
        <v>16</v>
      </c>
      <c r="D68" s="4" t="s">
        <v>17</v>
      </c>
      <c r="E68" s="4">
        <v>16</v>
      </c>
    </row>
    <row r="69" spans="1:5" x14ac:dyDescent="0.25">
      <c r="A69" s="11">
        <v>45906</v>
      </c>
      <c r="B69" s="4" t="s">
        <v>36</v>
      </c>
      <c r="C69" s="4" t="s">
        <v>6</v>
      </c>
      <c r="D69" s="4" t="s">
        <v>7</v>
      </c>
      <c r="E69" s="4">
        <v>24</v>
      </c>
    </row>
    <row r="70" spans="1:5" x14ac:dyDescent="0.25">
      <c r="A70" s="11">
        <v>45908</v>
      </c>
      <c r="B70" s="4" t="s">
        <v>36</v>
      </c>
      <c r="C70" s="4" t="s">
        <v>22</v>
      </c>
      <c r="D70" s="4" t="s">
        <v>23</v>
      </c>
      <c r="E70" s="4">
        <v>11</v>
      </c>
    </row>
    <row r="71" spans="1:5" x14ac:dyDescent="0.25">
      <c r="A71" s="11">
        <v>45913</v>
      </c>
      <c r="B71" s="4" t="s">
        <v>38</v>
      </c>
      <c r="C71" s="4" t="s">
        <v>10</v>
      </c>
      <c r="D71" s="4" t="s">
        <v>11</v>
      </c>
      <c r="E71" s="4">
        <v>21</v>
      </c>
    </row>
    <row r="72" spans="1:5" x14ac:dyDescent="0.25">
      <c r="A72" s="11">
        <v>45915</v>
      </c>
      <c r="B72" s="4" t="s">
        <v>36</v>
      </c>
      <c r="C72" s="4" t="s">
        <v>22</v>
      </c>
      <c r="D72" s="4" t="s">
        <v>23</v>
      </c>
      <c r="E72" s="4">
        <v>16</v>
      </c>
    </row>
    <row r="73" spans="1:5" x14ac:dyDescent="0.25">
      <c r="A73" s="11">
        <v>45917</v>
      </c>
      <c r="B73" s="4" t="s">
        <v>38</v>
      </c>
      <c r="C73" s="4" t="s">
        <v>30</v>
      </c>
      <c r="D73" s="4" t="s">
        <v>31</v>
      </c>
      <c r="E73" s="4">
        <v>21</v>
      </c>
    </row>
    <row r="74" spans="1:5" x14ac:dyDescent="0.25">
      <c r="A74" s="11">
        <v>45928</v>
      </c>
      <c r="B74" s="4" t="s">
        <v>38</v>
      </c>
      <c r="C74" s="4" t="s">
        <v>22</v>
      </c>
      <c r="D74" s="4" t="s">
        <v>23</v>
      </c>
      <c r="E74" s="4">
        <v>21</v>
      </c>
    </row>
    <row r="75" spans="1:5" x14ac:dyDescent="0.25">
      <c r="A75" s="11">
        <v>45928</v>
      </c>
      <c r="B75" s="4" t="s">
        <v>39</v>
      </c>
      <c r="C75" s="4" t="s">
        <v>22</v>
      </c>
      <c r="D75" s="4" t="s">
        <v>23</v>
      </c>
      <c r="E75" s="4">
        <v>15</v>
      </c>
    </row>
    <row r="76" spans="1:5" x14ac:dyDescent="0.25">
      <c r="A76" s="11">
        <v>45935</v>
      </c>
      <c r="B76" s="4" t="s">
        <v>37</v>
      </c>
      <c r="C76" s="4" t="s">
        <v>4</v>
      </c>
      <c r="D76" s="4" t="s">
        <v>5</v>
      </c>
      <c r="E76" s="4">
        <v>19</v>
      </c>
    </row>
    <row r="77" spans="1:5" x14ac:dyDescent="0.25">
      <c r="A77" s="11">
        <v>45939</v>
      </c>
      <c r="B77" s="4" t="s">
        <v>37</v>
      </c>
      <c r="C77" s="4" t="s">
        <v>24</v>
      </c>
      <c r="D77" s="4" t="s">
        <v>25</v>
      </c>
      <c r="E77" s="4">
        <v>16</v>
      </c>
    </row>
    <row r="78" spans="1:5" x14ac:dyDescent="0.25">
      <c r="A78" s="11">
        <v>45941</v>
      </c>
      <c r="B78" s="4" t="s">
        <v>38</v>
      </c>
      <c r="C78" s="4" t="s">
        <v>4</v>
      </c>
      <c r="D78" s="4" t="s">
        <v>5</v>
      </c>
      <c r="E78" s="4">
        <v>19</v>
      </c>
    </row>
    <row r="79" spans="1:5" x14ac:dyDescent="0.25">
      <c r="A79" s="11">
        <v>45941</v>
      </c>
      <c r="B79" s="4" t="s">
        <v>36</v>
      </c>
      <c r="C79" s="4" t="s">
        <v>32</v>
      </c>
      <c r="D79" s="4" t="s">
        <v>33</v>
      </c>
      <c r="E79" s="4">
        <v>4</v>
      </c>
    </row>
    <row r="80" spans="1:5" x14ac:dyDescent="0.25">
      <c r="A80" s="11">
        <v>45942</v>
      </c>
      <c r="B80" s="4" t="s">
        <v>39</v>
      </c>
      <c r="C80" s="4" t="s">
        <v>26</v>
      </c>
      <c r="D80" s="4" t="s">
        <v>27</v>
      </c>
      <c r="E80" s="4">
        <v>24</v>
      </c>
    </row>
    <row r="81" spans="1:5" x14ac:dyDescent="0.25">
      <c r="A81" s="11">
        <v>45946</v>
      </c>
      <c r="B81" s="4" t="s">
        <v>36</v>
      </c>
      <c r="C81" s="4" t="s">
        <v>18</v>
      </c>
      <c r="D81" s="4" t="s">
        <v>19</v>
      </c>
      <c r="E81" s="4">
        <v>20</v>
      </c>
    </row>
    <row r="82" spans="1:5" x14ac:dyDescent="0.25">
      <c r="A82" s="11">
        <v>45948</v>
      </c>
      <c r="B82" s="4" t="s">
        <v>37</v>
      </c>
      <c r="C82" s="4" t="s">
        <v>4</v>
      </c>
      <c r="D82" s="4" t="s">
        <v>5</v>
      </c>
      <c r="E82" s="4">
        <v>8</v>
      </c>
    </row>
    <row r="83" spans="1:5" x14ac:dyDescent="0.25">
      <c r="A83" s="11">
        <v>45949</v>
      </c>
      <c r="B83" s="4" t="s">
        <v>37</v>
      </c>
      <c r="C83" s="4" t="s">
        <v>16</v>
      </c>
      <c r="D83" s="4" t="s">
        <v>17</v>
      </c>
      <c r="E83" s="4">
        <v>4</v>
      </c>
    </row>
    <row r="84" spans="1:5" x14ac:dyDescent="0.25">
      <c r="A84" s="11">
        <v>45956</v>
      </c>
      <c r="B84" s="4" t="s">
        <v>36</v>
      </c>
      <c r="C84" s="4" t="s">
        <v>16</v>
      </c>
      <c r="D84" s="4" t="s">
        <v>17</v>
      </c>
      <c r="E84" s="4">
        <v>22</v>
      </c>
    </row>
    <row r="85" spans="1:5" x14ac:dyDescent="0.25">
      <c r="A85" s="11">
        <v>45967</v>
      </c>
      <c r="B85" s="4" t="s">
        <v>37</v>
      </c>
      <c r="C85" s="4" t="s">
        <v>12</v>
      </c>
      <c r="D85" s="4" t="s">
        <v>13</v>
      </c>
      <c r="E85" s="4">
        <v>10</v>
      </c>
    </row>
    <row r="86" spans="1:5" x14ac:dyDescent="0.25">
      <c r="A86" s="11">
        <v>45968</v>
      </c>
      <c r="B86" s="4" t="s">
        <v>37</v>
      </c>
      <c r="C86" s="4" t="s">
        <v>12</v>
      </c>
      <c r="D86" s="4" t="s">
        <v>13</v>
      </c>
      <c r="E86" s="4">
        <v>17</v>
      </c>
    </row>
    <row r="87" spans="1:5" x14ac:dyDescent="0.25">
      <c r="A87" s="11">
        <v>45978</v>
      </c>
      <c r="B87" s="4" t="s">
        <v>37</v>
      </c>
      <c r="C87" s="4" t="s">
        <v>20</v>
      </c>
      <c r="D87" s="4" t="s">
        <v>21</v>
      </c>
      <c r="E87" s="4">
        <v>4</v>
      </c>
    </row>
    <row r="88" spans="1:5" x14ac:dyDescent="0.25">
      <c r="A88" s="11">
        <v>45989</v>
      </c>
      <c r="B88" s="4" t="s">
        <v>38</v>
      </c>
      <c r="C88" s="4" t="s">
        <v>26</v>
      </c>
      <c r="D88" s="4" t="s">
        <v>27</v>
      </c>
      <c r="E88" s="4">
        <v>22</v>
      </c>
    </row>
    <row r="89" spans="1:5" x14ac:dyDescent="0.25">
      <c r="A89" s="11">
        <v>45995</v>
      </c>
      <c r="B89" s="4" t="s">
        <v>37</v>
      </c>
      <c r="C89" s="4" t="s">
        <v>6</v>
      </c>
      <c r="D89" s="4" t="s">
        <v>7</v>
      </c>
      <c r="E89" s="4">
        <v>4</v>
      </c>
    </row>
    <row r="90" spans="1:5" x14ac:dyDescent="0.25">
      <c r="A90" s="11">
        <v>45999</v>
      </c>
      <c r="B90" s="4" t="s">
        <v>37</v>
      </c>
      <c r="C90" s="4" t="s">
        <v>24</v>
      </c>
      <c r="D90" s="4" t="s">
        <v>25</v>
      </c>
      <c r="E90" s="4">
        <v>8</v>
      </c>
    </row>
    <row r="91" spans="1:5" x14ac:dyDescent="0.25">
      <c r="A91" s="11">
        <v>46006</v>
      </c>
      <c r="B91" s="4" t="s">
        <v>38</v>
      </c>
      <c r="C91" s="4" t="s">
        <v>20</v>
      </c>
      <c r="D91" s="4" t="s">
        <v>21</v>
      </c>
      <c r="E91" s="4">
        <v>1</v>
      </c>
    </row>
    <row r="92" spans="1:5" x14ac:dyDescent="0.25">
      <c r="A92" s="11">
        <v>46010</v>
      </c>
      <c r="B92" s="4" t="s">
        <v>38</v>
      </c>
      <c r="C92" s="4" t="s">
        <v>32</v>
      </c>
      <c r="D92" s="4" t="s">
        <v>33</v>
      </c>
      <c r="E92" s="4">
        <v>21</v>
      </c>
    </row>
    <row r="93" spans="1:5" x14ac:dyDescent="0.25">
      <c r="A93" s="11">
        <v>46011</v>
      </c>
      <c r="B93" s="4" t="s">
        <v>36</v>
      </c>
      <c r="C93" s="4" t="s">
        <v>6</v>
      </c>
      <c r="D93" s="4" t="s">
        <v>7</v>
      </c>
      <c r="E93" s="4">
        <v>3</v>
      </c>
    </row>
    <row r="94" spans="1:5" x14ac:dyDescent="0.25">
      <c r="A94" s="11">
        <v>46011</v>
      </c>
      <c r="B94" s="4" t="s">
        <v>39</v>
      </c>
      <c r="C94" s="4" t="s">
        <v>10</v>
      </c>
      <c r="D94" s="4" t="s">
        <v>11</v>
      </c>
      <c r="E94" s="4">
        <v>18</v>
      </c>
    </row>
    <row r="95" spans="1:5" x14ac:dyDescent="0.25">
      <c r="A95" s="11">
        <v>46018</v>
      </c>
      <c r="B95" s="4" t="s">
        <v>39</v>
      </c>
      <c r="C95" s="4" t="s">
        <v>30</v>
      </c>
      <c r="D95" s="4" t="s">
        <v>31</v>
      </c>
      <c r="E95" s="4">
        <v>18</v>
      </c>
    </row>
    <row r="96" spans="1:5" x14ac:dyDescent="0.25">
      <c r="A96" s="12">
        <v>46037</v>
      </c>
      <c r="B96" t="s">
        <v>36</v>
      </c>
      <c r="C96" t="s">
        <v>4</v>
      </c>
      <c r="D96" t="s">
        <v>5</v>
      </c>
      <c r="E96">
        <v>5</v>
      </c>
    </row>
    <row r="97" spans="1:5" x14ac:dyDescent="0.25">
      <c r="A97" s="12">
        <v>46228</v>
      </c>
      <c r="B97" t="s">
        <v>36</v>
      </c>
      <c r="C97" t="s">
        <v>4</v>
      </c>
      <c r="D97" t="s">
        <v>5</v>
      </c>
      <c r="E97">
        <v>100</v>
      </c>
    </row>
    <row r="98" spans="1:5" x14ac:dyDescent="0.25">
      <c r="A98" s="12">
        <v>46231</v>
      </c>
      <c r="B98" t="s">
        <v>36</v>
      </c>
      <c r="C98" t="s">
        <v>4</v>
      </c>
      <c r="D98" t="s">
        <v>5</v>
      </c>
      <c r="E98">
        <v>50</v>
      </c>
    </row>
    <row r="99" spans="1:5" x14ac:dyDescent="0.25">
      <c r="A99" s="12">
        <v>46231</v>
      </c>
      <c r="B99" t="s">
        <v>36</v>
      </c>
      <c r="C99" t="s">
        <v>10</v>
      </c>
      <c r="D99" t="s">
        <v>11</v>
      </c>
      <c r="E99">
        <v>40</v>
      </c>
    </row>
  </sheetData>
  <pageMargins left="0.75" right="0.75" top="1" bottom="1" header="0.5" footer="0.5"/>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92"/>
  <sheetViews>
    <sheetView workbookViewId="0">
      <pane ySplit="1" topLeftCell="A74" activePane="bottomLeft" state="frozen"/>
      <selection pane="bottomLeft" activeCell="A90" sqref="A90:XFD90"/>
    </sheetView>
  </sheetViews>
  <sheetFormatPr defaultRowHeight="15" x14ac:dyDescent="0.25"/>
  <cols>
    <col min="1" max="1" width="14" style="12" customWidth="1"/>
    <col min="2" max="2" width="14" customWidth="1"/>
    <col min="3" max="3" width="10" customWidth="1"/>
    <col min="4" max="4" width="38" customWidth="1"/>
    <col min="5" max="5" width="10" customWidth="1"/>
  </cols>
  <sheetData>
    <row r="1" spans="1:5" x14ac:dyDescent="0.25">
      <c r="A1" s="10" t="s">
        <v>34</v>
      </c>
      <c r="B1" s="3" t="s">
        <v>3</v>
      </c>
      <c r="C1" s="3" t="s">
        <v>1</v>
      </c>
      <c r="D1" s="3" t="s">
        <v>2</v>
      </c>
      <c r="E1" s="3" t="s">
        <v>35</v>
      </c>
    </row>
    <row r="2" spans="1:5" x14ac:dyDescent="0.25">
      <c r="A2" s="11">
        <v>45658</v>
      </c>
      <c r="B2" s="4" t="s">
        <v>38</v>
      </c>
      <c r="C2" s="4" t="s">
        <v>4</v>
      </c>
      <c r="D2" s="4" t="s">
        <v>5</v>
      </c>
      <c r="E2" s="4">
        <v>14</v>
      </c>
    </row>
    <row r="3" spans="1:5" x14ac:dyDescent="0.25">
      <c r="A3" s="11">
        <v>45658</v>
      </c>
      <c r="B3" s="4" t="s">
        <v>38</v>
      </c>
      <c r="C3" s="4" t="s">
        <v>16</v>
      </c>
      <c r="D3" s="4" t="s">
        <v>17</v>
      </c>
      <c r="E3" s="4">
        <v>18</v>
      </c>
    </row>
    <row r="4" spans="1:5" x14ac:dyDescent="0.25">
      <c r="A4" s="11">
        <v>45670</v>
      </c>
      <c r="B4" s="4" t="s">
        <v>37</v>
      </c>
      <c r="C4" s="4" t="s">
        <v>32</v>
      </c>
      <c r="D4" s="4" t="s">
        <v>33</v>
      </c>
      <c r="E4" s="4">
        <v>14</v>
      </c>
    </row>
    <row r="5" spans="1:5" x14ac:dyDescent="0.25">
      <c r="A5" s="11">
        <v>45677</v>
      </c>
      <c r="B5" s="4" t="s">
        <v>37</v>
      </c>
      <c r="C5" s="4" t="s">
        <v>22</v>
      </c>
      <c r="D5" s="4" t="s">
        <v>23</v>
      </c>
      <c r="E5" s="4">
        <v>9</v>
      </c>
    </row>
    <row r="6" spans="1:5" x14ac:dyDescent="0.25">
      <c r="A6" s="11">
        <v>45679</v>
      </c>
      <c r="B6" s="4" t="s">
        <v>36</v>
      </c>
      <c r="C6" s="4" t="s">
        <v>28</v>
      </c>
      <c r="D6" s="4" t="s">
        <v>29</v>
      </c>
      <c r="E6" s="4">
        <v>19</v>
      </c>
    </row>
    <row r="7" spans="1:5" x14ac:dyDescent="0.25">
      <c r="A7" s="11">
        <v>45684</v>
      </c>
      <c r="B7" s="4" t="s">
        <v>36</v>
      </c>
      <c r="C7" s="4" t="s">
        <v>26</v>
      </c>
      <c r="D7" s="4" t="s">
        <v>27</v>
      </c>
      <c r="E7" s="4">
        <v>18</v>
      </c>
    </row>
    <row r="8" spans="1:5" x14ac:dyDescent="0.25">
      <c r="A8" s="11">
        <v>45690</v>
      </c>
      <c r="B8" s="4" t="s">
        <v>37</v>
      </c>
      <c r="C8" s="4" t="s">
        <v>26</v>
      </c>
      <c r="D8" s="4" t="s">
        <v>27</v>
      </c>
      <c r="E8" s="4">
        <v>7</v>
      </c>
    </row>
    <row r="9" spans="1:5" x14ac:dyDescent="0.25">
      <c r="A9" s="11">
        <v>45693</v>
      </c>
      <c r="B9" s="4" t="s">
        <v>37</v>
      </c>
      <c r="C9" s="4" t="s">
        <v>14</v>
      </c>
      <c r="D9" s="4" t="s">
        <v>15</v>
      </c>
      <c r="E9" s="4">
        <v>14</v>
      </c>
    </row>
    <row r="10" spans="1:5" x14ac:dyDescent="0.25">
      <c r="A10" s="11">
        <v>45696</v>
      </c>
      <c r="B10" s="4" t="s">
        <v>39</v>
      </c>
      <c r="C10" s="4" t="s">
        <v>16</v>
      </c>
      <c r="D10" s="4" t="s">
        <v>17</v>
      </c>
      <c r="E10" s="4">
        <v>7</v>
      </c>
    </row>
    <row r="11" spans="1:5" x14ac:dyDescent="0.25">
      <c r="A11" s="11">
        <v>45697</v>
      </c>
      <c r="B11" s="4" t="s">
        <v>37</v>
      </c>
      <c r="C11" s="4" t="s">
        <v>12</v>
      </c>
      <c r="D11" s="4" t="s">
        <v>13</v>
      </c>
      <c r="E11" s="4">
        <v>15</v>
      </c>
    </row>
    <row r="12" spans="1:5" x14ac:dyDescent="0.25">
      <c r="A12" s="11">
        <v>45699</v>
      </c>
      <c r="B12" s="4" t="s">
        <v>38</v>
      </c>
      <c r="C12" s="4" t="s">
        <v>32</v>
      </c>
      <c r="D12" s="4" t="s">
        <v>33</v>
      </c>
      <c r="E12" s="4">
        <v>18</v>
      </c>
    </row>
    <row r="13" spans="1:5" x14ac:dyDescent="0.25">
      <c r="A13" s="11">
        <v>45702</v>
      </c>
      <c r="B13" s="4" t="s">
        <v>38</v>
      </c>
      <c r="C13" s="4" t="s">
        <v>30</v>
      </c>
      <c r="D13" s="4" t="s">
        <v>31</v>
      </c>
      <c r="E13" s="4">
        <v>8</v>
      </c>
    </row>
    <row r="14" spans="1:5" x14ac:dyDescent="0.25">
      <c r="A14" s="11">
        <v>45720</v>
      </c>
      <c r="B14" s="4" t="s">
        <v>36</v>
      </c>
      <c r="C14" s="4" t="s">
        <v>20</v>
      </c>
      <c r="D14" s="4" t="s">
        <v>21</v>
      </c>
      <c r="E14" s="4">
        <v>8</v>
      </c>
    </row>
    <row r="15" spans="1:5" x14ac:dyDescent="0.25">
      <c r="A15" s="11">
        <v>45727</v>
      </c>
      <c r="B15" s="4" t="s">
        <v>36</v>
      </c>
      <c r="C15" s="4" t="s">
        <v>6</v>
      </c>
      <c r="D15" s="4" t="s">
        <v>7</v>
      </c>
      <c r="E15" s="4">
        <v>14</v>
      </c>
    </row>
    <row r="16" spans="1:5" x14ac:dyDescent="0.25">
      <c r="A16" s="11">
        <v>45733</v>
      </c>
      <c r="B16" s="4" t="s">
        <v>38</v>
      </c>
      <c r="C16" s="4" t="s">
        <v>10</v>
      </c>
      <c r="D16" s="4" t="s">
        <v>11</v>
      </c>
      <c r="E16" s="4">
        <v>7</v>
      </c>
    </row>
    <row r="17" spans="1:5" x14ac:dyDescent="0.25">
      <c r="A17" s="11">
        <v>45741</v>
      </c>
      <c r="B17" s="4" t="s">
        <v>37</v>
      </c>
      <c r="C17" s="4" t="s">
        <v>32</v>
      </c>
      <c r="D17" s="4" t="s">
        <v>33</v>
      </c>
      <c r="E17" s="4">
        <v>8</v>
      </c>
    </row>
    <row r="18" spans="1:5" x14ac:dyDescent="0.25">
      <c r="A18" s="11">
        <v>45742</v>
      </c>
      <c r="B18" s="4" t="s">
        <v>38</v>
      </c>
      <c r="C18" s="4" t="s">
        <v>24</v>
      </c>
      <c r="D18" s="4" t="s">
        <v>25</v>
      </c>
      <c r="E18" s="4">
        <v>13</v>
      </c>
    </row>
    <row r="19" spans="1:5" x14ac:dyDescent="0.25">
      <c r="A19" s="11">
        <v>45743</v>
      </c>
      <c r="B19" s="4" t="s">
        <v>38</v>
      </c>
      <c r="C19" s="4" t="s">
        <v>28</v>
      </c>
      <c r="D19" s="4" t="s">
        <v>29</v>
      </c>
      <c r="E19" s="4">
        <v>12</v>
      </c>
    </row>
    <row r="20" spans="1:5" x14ac:dyDescent="0.25">
      <c r="A20" s="11">
        <v>45744</v>
      </c>
      <c r="B20" s="4" t="s">
        <v>37</v>
      </c>
      <c r="C20" s="4" t="s">
        <v>20</v>
      </c>
      <c r="D20" s="4" t="s">
        <v>21</v>
      </c>
      <c r="E20" s="4">
        <v>16</v>
      </c>
    </row>
    <row r="21" spans="1:5" x14ac:dyDescent="0.25">
      <c r="A21" s="11">
        <v>45755</v>
      </c>
      <c r="B21" s="4" t="s">
        <v>36</v>
      </c>
      <c r="C21" s="4" t="s">
        <v>16</v>
      </c>
      <c r="D21" s="4" t="s">
        <v>17</v>
      </c>
      <c r="E21" s="4">
        <v>19</v>
      </c>
    </row>
    <row r="22" spans="1:5" x14ac:dyDescent="0.25">
      <c r="A22" s="11">
        <v>45763</v>
      </c>
      <c r="B22" s="4" t="s">
        <v>39</v>
      </c>
      <c r="C22" s="4" t="s">
        <v>16</v>
      </c>
      <c r="D22" s="4" t="s">
        <v>17</v>
      </c>
      <c r="E22" s="4">
        <v>2</v>
      </c>
    </row>
    <row r="23" spans="1:5" x14ac:dyDescent="0.25">
      <c r="A23" s="11">
        <v>45772</v>
      </c>
      <c r="B23" s="4" t="s">
        <v>38</v>
      </c>
      <c r="C23" s="4" t="s">
        <v>30</v>
      </c>
      <c r="D23" s="4" t="s">
        <v>31</v>
      </c>
      <c r="E23" s="4">
        <v>8</v>
      </c>
    </row>
    <row r="24" spans="1:5" x14ac:dyDescent="0.25">
      <c r="A24" s="11">
        <v>45782</v>
      </c>
      <c r="B24" s="4" t="s">
        <v>38</v>
      </c>
      <c r="C24" s="4" t="s">
        <v>32</v>
      </c>
      <c r="D24" s="4" t="s">
        <v>33</v>
      </c>
      <c r="E24" s="4">
        <v>15</v>
      </c>
    </row>
    <row r="25" spans="1:5" x14ac:dyDescent="0.25">
      <c r="A25" s="11">
        <v>45784</v>
      </c>
      <c r="B25" s="4" t="s">
        <v>36</v>
      </c>
      <c r="C25" s="4" t="s">
        <v>28</v>
      </c>
      <c r="D25" s="4" t="s">
        <v>29</v>
      </c>
      <c r="E25" s="4">
        <v>1</v>
      </c>
    </row>
    <row r="26" spans="1:5" x14ac:dyDescent="0.25">
      <c r="A26" s="11">
        <v>45791</v>
      </c>
      <c r="B26" s="4" t="s">
        <v>38</v>
      </c>
      <c r="C26" s="4" t="s">
        <v>4</v>
      </c>
      <c r="D26" s="4" t="s">
        <v>5</v>
      </c>
      <c r="E26" s="4">
        <v>4</v>
      </c>
    </row>
    <row r="27" spans="1:5" x14ac:dyDescent="0.25">
      <c r="A27" s="11">
        <v>45791</v>
      </c>
      <c r="B27" s="4" t="s">
        <v>39</v>
      </c>
      <c r="C27" s="4" t="s">
        <v>8</v>
      </c>
      <c r="D27" s="4" t="s">
        <v>9</v>
      </c>
      <c r="E27" s="4">
        <v>2</v>
      </c>
    </row>
    <row r="28" spans="1:5" x14ac:dyDescent="0.25">
      <c r="A28" s="11">
        <v>45795</v>
      </c>
      <c r="B28" s="4" t="s">
        <v>39</v>
      </c>
      <c r="C28" s="4" t="s">
        <v>16</v>
      </c>
      <c r="D28" s="4" t="s">
        <v>17</v>
      </c>
      <c r="E28" s="4">
        <v>19</v>
      </c>
    </row>
    <row r="29" spans="1:5" x14ac:dyDescent="0.25">
      <c r="A29" s="11">
        <v>45797</v>
      </c>
      <c r="B29" s="4" t="s">
        <v>37</v>
      </c>
      <c r="C29" s="4" t="s">
        <v>18</v>
      </c>
      <c r="D29" s="4" t="s">
        <v>19</v>
      </c>
      <c r="E29" s="4">
        <v>8</v>
      </c>
    </row>
    <row r="30" spans="1:5" x14ac:dyDescent="0.25">
      <c r="A30" s="11">
        <v>45800</v>
      </c>
      <c r="B30" s="4" t="s">
        <v>38</v>
      </c>
      <c r="C30" s="4" t="s">
        <v>14</v>
      </c>
      <c r="D30" s="4" t="s">
        <v>15</v>
      </c>
      <c r="E30" s="4">
        <v>13</v>
      </c>
    </row>
    <row r="31" spans="1:5" x14ac:dyDescent="0.25">
      <c r="A31" s="11">
        <v>45800</v>
      </c>
      <c r="B31" s="4" t="s">
        <v>38</v>
      </c>
      <c r="C31" s="4" t="s">
        <v>12</v>
      </c>
      <c r="D31" s="4" t="s">
        <v>13</v>
      </c>
      <c r="E31" s="4">
        <v>3</v>
      </c>
    </row>
    <row r="32" spans="1:5" x14ac:dyDescent="0.25">
      <c r="A32" s="11">
        <v>45810</v>
      </c>
      <c r="B32" s="4" t="s">
        <v>39</v>
      </c>
      <c r="C32" s="4" t="s">
        <v>4</v>
      </c>
      <c r="D32" s="4" t="s">
        <v>5</v>
      </c>
      <c r="E32" s="4">
        <v>12</v>
      </c>
    </row>
    <row r="33" spans="1:5" x14ac:dyDescent="0.25">
      <c r="A33" s="11">
        <v>45817</v>
      </c>
      <c r="B33" s="4" t="s">
        <v>36</v>
      </c>
      <c r="C33" s="4" t="s">
        <v>22</v>
      </c>
      <c r="D33" s="4" t="s">
        <v>23</v>
      </c>
      <c r="E33" s="4">
        <v>1</v>
      </c>
    </row>
    <row r="34" spans="1:5" x14ac:dyDescent="0.25">
      <c r="A34" s="11">
        <v>45817</v>
      </c>
      <c r="B34" s="4" t="s">
        <v>36</v>
      </c>
      <c r="C34" s="4" t="s">
        <v>28</v>
      </c>
      <c r="D34" s="4" t="s">
        <v>29</v>
      </c>
      <c r="E34" s="4">
        <v>6</v>
      </c>
    </row>
    <row r="35" spans="1:5" x14ac:dyDescent="0.25">
      <c r="A35" s="11">
        <v>45825</v>
      </c>
      <c r="B35" s="4" t="s">
        <v>38</v>
      </c>
      <c r="C35" s="4" t="s">
        <v>24</v>
      </c>
      <c r="D35" s="4" t="s">
        <v>25</v>
      </c>
      <c r="E35" s="4">
        <v>14</v>
      </c>
    </row>
    <row r="36" spans="1:5" x14ac:dyDescent="0.25">
      <c r="A36" s="11">
        <v>45829</v>
      </c>
      <c r="B36" s="4" t="s">
        <v>38</v>
      </c>
      <c r="C36" s="4" t="s">
        <v>10</v>
      </c>
      <c r="D36" s="4" t="s">
        <v>11</v>
      </c>
      <c r="E36" s="4">
        <v>9</v>
      </c>
    </row>
    <row r="37" spans="1:5" x14ac:dyDescent="0.25">
      <c r="A37" s="11">
        <v>45834</v>
      </c>
      <c r="B37" s="4" t="s">
        <v>36</v>
      </c>
      <c r="C37" s="4" t="s">
        <v>22</v>
      </c>
      <c r="D37" s="4" t="s">
        <v>23</v>
      </c>
      <c r="E37" s="4">
        <v>14</v>
      </c>
    </row>
    <row r="38" spans="1:5" x14ac:dyDescent="0.25">
      <c r="A38" s="11">
        <v>45837</v>
      </c>
      <c r="B38" s="4" t="s">
        <v>37</v>
      </c>
      <c r="C38" s="4" t="s">
        <v>10</v>
      </c>
      <c r="D38" s="4" t="s">
        <v>11</v>
      </c>
      <c r="E38" s="4">
        <v>15</v>
      </c>
    </row>
    <row r="39" spans="1:5" x14ac:dyDescent="0.25">
      <c r="A39" s="11">
        <v>45852</v>
      </c>
      <c r="B39" s="4" t="s">
        <v>36</v>
      </c>
      <c r="C39" s="4" t="s">
        <v>30</v>
      </c>
      <c r="D39" s="4" t="s">
        <v>31</v>
      </c>
      <c r="E39" s="4">
        <v>19</v>
      </c>
    </row>
    <row r="40" spans="1:5" x14ac:dyDescent="0.25">
      <c r="A40" s="11">
        <v>45854</v>
      </c>
      <c r="B40" s="4" t="s">
        <v>37</v>
      </c>
      <c r="C40" s="4" t="s">
        <v>8</v>
      </c>
      <c r="D40" s="4" t="s">
        <v>9</v>
      </c>
      <c r="E40" s="4">
        <v>8</v>
      </c>
    </row>
    <row r="41" spans="1:5" x14ac:dyDescent="0.25">
      <c r="A41" s="11">
        <v>45857</v>
      </c>
      <c r="B41" s="4" t="s">
        <v>39</v>
      </c>
      <c r="C41" s="4" t="s">
        <v>18</v>
      </c>
      <c r="D41" s="4" t="s">
        <v>19</v>
      </c>
      <c r="E41" s="4">
        <v>1</v>
      </c>
    </row>
    <row r="42" spans="1:5" x14ac:dyDescent="0.25">
      <c r="A42" s="11">
        <v>45862</v>
      </c>
      <c r="B42" s="4" t="s">
        <v>36</v>
      </c>
      <c r="C42" s="4" t="s">
        <v>24</v>
      </c>
      <c r="D42" s="4" t="s">
        <v>25</v>
      </c>
      <c r="E42" s="4">
        <v>7</v>
      </c>
    </row>
    <row r="43" spans="1:5" x14ac:dyDescent="0.25">
      <c r="A43" s="11">
        <v>45862</v>
      </c>
      <c r="B43" s="4" t="s">
        <v>38</v>
      </c>
      <c r="C43" s="4" t="s">
        <v>24</v>
      </c>
      <c r="D43" s="4" t="s">
        <v>25</v>
      </c>
      <c r="E43" s="4">
        <v>17</v>
      </c>
    </row>
    <row r="44" spans="1:5" x14ac:dyDescent="0.25">
      <c r="A44" s="11">
        <v>45866</v>
      </c>
      <c r="B44" s="4" t="s">
        <v>36</v>
      </c>
      <c r="C44" s="4" t="s">
        <v>14</v>
      </c>
      <c r="D44" s="4" t="s">
        <v>15</v>
      </c>
      <c r="E44" s="4">
        <v>18</v>
      </c>
    </row>
    <row r="45" spans="1:5" x14ac:dyDescent="0.25">
      <c r="A45" s="11">
        <v>45868</v>
      </c>
      <c r="B45" s="4" t="s">
        <v>37</v>
      </c>
      <c r="C45" s="4" t="s">
        <v>26</v>
      </c>
      <c r="D45" s="4" t="s">
        <v>27</v>
      </c>
      <c r="E45" s="4">
        <v>11</v>
      </c>
    </row>
    <row r="46" spans="1:5" x14ac:dyDescent="0.25">
      <c r="A46" s="11">
        <v>45875</v>
      </c>
      <c r="B46" s="4" t="s">
        <v>36</v>
      </c>
      <c r="C46" s="4" t="s">
        <v>32</v>
      </c>
      <c r="D46" s="4" t="s">
        <v>33</v>
      </c>
      <c r="E46" s="4">
        <v>4</v>
      </c>
    </row>
    <row r="47" spans="1:5" x14ac:dyDescent="0.25">
      <c r="A47" s="11">
        <v>45878</v>
      </c>
      <c r="B47" s="4" t="s">
        <v>38</v>
      </c>
      <c r="C47" s="4" t="s">
        <v>12</v>
      </c>
      <c r="D47" s="4" t="s">
        <v>13</v>
      </c>
      <c r="E47" s="4">
        <v>7</v>
      </c>
    </row>
    <row r="48" spans="1:5" x14ac:dyDescent="0.25">
      <c r="A48" s="11">
        <v>45880</v>
      </c>
      <c r="B48" s="4" t="s">
        <v>39</v>
      </c>
      <c r="C48" s="4" t="s">
        <v>26</v>
      </c>
      <c r="D48" s="4" t="s">
        <v>27</v>
      </c>
      <c r="E48" s="4">
        <v>5</v>
      </c>
    </row>
    <row r="49" spans="1:5" x14ac:dyDescent="0.25">
      <c r="A49" s="11">
        <v>45884</v>
      </c>
      <c r="B49" s="4" t="s">
        <v>38</v>
      </c>
      <c r="C49" s="4" t="s">
        <v>18</v>
      </c>
      <c r="D49" s="4" t="s">
        <v>19</v>
      </c>
      <c r="E49" s="4">
        <v>15</v>
      </c>
    </row>
    <row r="50" spans="1:5" x14ac:dyDescent="0.25">
      <c r="A50" s="11">
        <v>45886</v>
      </c>
      <c r="B50" s="4" t="s">
        <v>39</v>
      </c>
      <c r="C50" s="4" t="s">
        <v>30</v>
      </c>
      <c r="D50" s="4" t="s">
        <v>31</v>
      </c>
      <c r="E50" s="4">
        <v>18</v>
      </c>
    </row>
    <row r="51" spans="1:5" x14ac:dyDescent="0.25">
      <c r="A51" s="11">
        <v>45888</v>
      </c>
      <c r="B51" s="4" t="s">
        <v>37</v>
      </c>
      <c r="C51" s="4" t="s">
        <v>26</v>
      </c>
      <c r="D51" s="4" t="s">
        <v>27</v>
      </c>
      <c r="E51" s="4">
        <v>16</v>
      </c>
    </row>
    <row r="52" spans="1:5" x14ac:dyDescent="0.25">
      <c r="A52" s="11">
        <v>45890</v>
      </c>
      <c r="B52" s="4" t="s">
        <v>39</v>
      </c>
      <c r="C52" s="4" t="s">
        <v>14</v>
      </c>
      <c r="D52" s="4" t="s">
        <v>15</v>
      </c>
      <c r="E52" s="4">
        <v>7</v>
      </c>
    </row>
    <row r="53" spans="1:5" x14ac:dyDescent="0.25">
      <c r="A53" s="11">
        <v>45895</v>
      </c>
      <c r="B53" s="4" t="s">
        <v>37</v>
      </c>
      <c r="C53" s="4" t="s">
        <v>8</v>
      </c>
      <c r="D53" s="4" t="s">
        <v>9</v>
      </c>
      <c r="E53" s="4">
        <v>17</v>
      </c>
    </row>
    <row r="54" spans="1:5" x14ac:dyDescent="0.25">
      <c r="A54" s="11">
        <v>45896</v>
      </c>
      <c r="B54" s="4" t="s">
        <v>36</v>
      </c>
      <c r="C54" s="4" t="s">
        <v>22</v>
      </c>
      <c r="D54" s="4" t="s">
        <v>23</v>
      </c>
      <c r="E54" s="4">
        <v>7</v>
      </c>
    </row>
    <row r="55" spans="1:5" x14ac:dyDescent="0.25">
      <c r="A55" s="11">
        <v>45898</v>
      </c>
      <c r="B55" s="4" t="s">
        <v>36</v>
      </c>
      <c r="C55" s="4" t="s">
        <v>16</v>
      </c>
      <c r="D55" s="4" t="s">
        <v>17</v>
      </c>
      <c r="E55" s="4">
        <v>2</v>
      </c>
    </row>
    <row r="56" spans="1:5" x14ac:dyDescent="0.25">
      <c r="A56" s="11">
        <v>45898</v>
      </c>
      <c r="B56" s="4" t="s">
        <v>39</v>
      </c>
      <c r="C56" s="4" t="s">
        <v>12</v>
      </c>
      <c r="D56" s="4" t="s">
        <v>13</v>
      </c>
      <c r="E56" s="4">
        <v>3</v>
      </c>
    </row>
    <row r="57" spans="1:5" x14ac:dyDescent="0.25">
      <c r="A57" s="11">
        <v>45900</v>
      </c>
      <c r="B57" s="4" t="s">
        <v>37</v>
      </c>
      <c r="C57" s="4" t="s">
        <v>10</v>
      </c>
      <c r="D57" s="4" t="s">
        <v>11</v>
      </c>
      <c r="E57" s="4">
        <v>5</v>
      </c>
    </row>
    <row r="58" spans="1:5" x14ac:dyDescent="0.25">
      <c r="A58" s="11">
        <v>45901</v>
      </c>
      <c r="B58" s="4" t="s">
        <v>36</v>
      </c>
      <c r="C58" s="4" t="s">
        <v>4</v>
      </c>
      <c r="D58" s="4" t="s">
        <v>5</v>
      </c>
      <c r="E58" s="4">
        <v>8</v>
      </c>
    </row>
    <row r="59" spans="1:5" x14ac:dyDescent="0.25">
      <c r="A59" s="11">
        <v>45905</v>
      </c>
      <c r="B59" s="4" t="s">
        <v>38</v>
      </c>
      <c r="C59" s="4" t="s">
        <v>22</v>
      </c>
      <c r="D59" s="4" t="s">
        <v>23</v>
      </c>
      <c r="E59" s="4">
        <v>18</v>
      </c>
    </row>
    <row r="60" spans="1:5" x14ac:dyDescent="0.25">
      <c r="A60" s="11">
        <v>45906</v>
      </c>
      <c r="B60" s="4" t="s">
        <v>38</v>
      </c>
      <c r="C60" s="4" t="s">
        <v>28</v>
      </c>
      <c r="D60" s="4" t="s">
        <v>29</v>
      </c>
      <c r="E60" s="4">
        <v>17</v>
      </c>
    </row>
    <row r="61" spans="1:5" x14ac:dyDescent="0.25">
      <c r="A61" s="11">
        <v>45908</v>
      </c>
      <c r="B61" s="4" t="s">
        <v>38</v>
      </c>
      <c r="C61" s="4" t="s">
        <v>4</v>
      </c>
      <c r="D61" s="4" t="s">
        <v>5</v>
      </c>
      <c r="E61" s="4">
        <v>14</v>
      </c>
    </row>
    <row r="62" spans="1:5" x14ac:dyDescent="0.25">
      <c r="A62" s="11">
        <v>45911</v>
      </c>
      <c r="B62" s="4" t="s">
        <v>37</v>
      </c>
      <c r="C62" s="4" t="s">
        <v>26</v>
      </c>
      <c r="D62" s="4" t="s">
        <v>27</v>
      </c>
      <c r="E62" s="4">
        <v>13</v>
      </c>
    </row>
    <row r="63" spans="1:5" x14ac:dyDescent="0.25">
      <c r="A63" s="11">
        <v>45917</v>
      </c>
      <c r="B63" s="4" t="s">
        <v>36</v>
      </c>
      <c r="C63" s="4" t="s">
        <v>26</v>
      </c>
      <c r="D63" s="4" t="s">
        <v>27</v>
      </c>
      <c r="E63" s="4">
        <v>10</v>
      </c>
    </row>
    <row r="64" spans="1:5" x14ac:dyDescent="0.25">
      <c r="A64" s="11">
        <v>45919</v>
      </c>
      <c r="B64" s="4" t="s">
        <v>38</v>
      </c>
      <c r="C64" s="4" t="s">
        <v>16</v>
      </c>
      <c r="D64" s="4" t="s">
        <v>17</v>
      </c>
      <c r="E64" s="4">
        <v>20</v>
      </c>
    </row>
    <row r="65" spans="1:5" x14ac:dyDescent="0.25">
      <c r="A65" s="11">
        <v>45933</v>
      </c>
      <c r="B65" s="4" t="s">
        <v>39</v>
      </c>
      <c r="C65" s="4" t="s">
        <v>30</v>
      </c>
      <c r="D65" s="4" t="s">
        <v>31</v>
      </c>
      <c r="E65" s="4">
        <v>14</v>
      </c>
    </row>
    <row r="66" spans="1:5" x14ac:dyDescent="0.25">
      <c r="A66" s="11">
        <v>45935</v>
      </c>
      <c r="B66" s="4" t="s">
        <v>39</v>
      </c>
      <c r="C66" s="4" t="s">
        <v>16</v>
      </c>
      <c r="D66" s="4" t="s">
        <v>17</v>
      </c>
      <c r="E66" s="4">
        <v>11</v>
      </c>
    </row>
    <row r="67" spans="1:5" x14ac:dyDescent="0.25">
      <c r="A67" s="11">
        <v>45941</v>
      </c>
      <c r="B67" s="4" t="s">
        <v>39</v>
      </c>
      <c r="C67" s="4" t="s">
        <v>26</v>
      </c>
      <c r="D67" s="4" t="s">
        <v>27</v>
      </c>
      <c r="E67" s="4">
        <v>10</v>
      </c>
    </row>
    <row r="68" spans="1:5" x14ac:dyDescent="0.25">
      <c r="A68" s="11">
        <v>45961</v>
      </c>
      <c r="B68" s="4" t="s">
        <v>36</v>
      </c>
      <c r="C68" s="4" t="s">
        <v>32</v>
      </c>
      <c r="D68" s="4" t="s">
        <v>33</v>
      </c>
      <c r="E68" s="4">
        <v>13</v>
      </c>
    </row>
    <row r="69" spans="1:5" x14ac:dyDescent="0.25">
      <c r="A69" s="11">
        <v>45971</v>
      </c>
      <c r="B69" s="4" t="s">
        <v>38</v>
      </c>
      <c r="C69" s="4" t="s">
        <v>28</v>
      </c>
      <c r="D69" s="4" t="s">
        <v>29</v>
      </c>
      <c r="E69" s="4">
        <v>15</v>
      </c>
    </row>
    <row r="70" spans="1:5" x14ac:dyDescent="0.25">
      <c r="A70" s="11">
        <v>45973</v>
      </c>
      <c r="B70" s="4" t="s">
        <v>39</v>
      </c>
      <c r="C70" s="4" t="s">
        <v>24</v>
      </c>
      <c r="D70" s="4" t="s">
        <v>25</v>
      </c>
      <c r="E70" s="4">
        <v>6</v>
      </c>
    </row>
    <row r="71" spans="1:5" x14ac:dyDescent="0.25">
      <c r="A71" s="11">
        <v>45976</v>
      </c>
      <c r="B71" s="4" t="s">
        <v>37</v>
      </c>
      <c r="C71" s="4" t="s">
        <v>30</v>
      </c>
      <c r="D71" s="4" t="s">
        <v>31</v>
      </c>
      <c r="E71" s="4">
        <v>1</v>
      </c>
    </row>
    <row r="72" spans="1:5" x14ac:dyDescent="0.25">
      <c r="A72" s="11">
        <v>45976</v>
      </c>
      <c r="B72" s="4" t="s">
        <v>39</v>
      </c>
      <c r="C72" s="4" t="s">
        <v>32</v>
      </c>
      <c r="D72" s="4" t="s">
        <v>33</v>
      </c>
      <c r="E72" s="4">
        <v>5</v>
      </c>
    </row>
    <row r="73" spans="1:5" x14ac:dyDescent="0.25">
      <c r="A73" s="11">
        <v>45980</v>
      </c>
      <c r="B73" s="4" t="s">
        <v>36</v>
      </c>
      <c r="C73" s="4" t="s">
        <v>18</v>
      </c>
      <c r="D73" s="4" t="s">
        <v>19</v>
      </c>
      <c r="E73" s="4">
        <v>14</v>
      </c>
    </row>
    <row r="74" spans="1:5" x14ac:dyDescent="0.25">
      <c r="A74" s="11">
        <v>45983</v>
      </c>
      <c r="B74" s="4" t="s">
        <v>36</v>
      </c>
      <c r="C74" s="4" t="s">
        <v>16</v>
      </c>
      <c r="D74" s="4" t="s">
        <v>17</v>
      </c>
      <c r="E74" s="4">
        <v>12</v>
      </c>
    </row>
    <row r="75" spans="1:5" x14ac:dyDescent="0.25">
      <c r="A75" s="11">
        <v>45984</v>
      </c>
      <c r="B75" s="4" t="s">
        <v>38</v>
      </c>
      <c r="C75" s="4" t="s">
        <v>28</v>
      </c>
      <c r="D75" s="4" t="s">
        <v>29</v>
      </c>
      <c r="E75" s="4">
        <v>8</v>
      </c>
    </row>
    <row r="76" spans="1:5" x14ac:dyDescent="0.25">
      <c r="A76" s="11">
        <v>45989</v>
      </c>
      <c r="B76" s="4" t="s">
        <v>38</v>
      </c>
      <c r="C76" s="4" t="s">
        <v>6</v>
      </c>
      <c r="D76" s="4" t="s">
        <v>7</v>
      </c>
      <c r="E76" s="4">
        <v>17</v>
      </c>
    </row>
    <row r="77" spans="1:5" x14ac:dyDescent="0.25">
      <c r="A77" s="11">
        <v>45991</v>
      </c>
      <c r="B77" s="4" t="s">
        <v>37</v>
      </c>
      <c r="C77" s="4" t="s">
        <v>26</v>
      </c>
      <c r="D77" s="4" t="s">
        <v>27</v>
      </c>
      <c r="E77" s="4">
        <v>17</v>
      </c>
    </row>
    <row r="78" spans="1:5" x14ac:dyDescent="0.25">
      <c r="A78" s="11">
        <v>45991</v>
      </c>
      <c r="B78" s="4" t="s">
        <v>38</v>
      </c>
      <c r="C78" s="4" t="s">
        <v>10</v>
      </c>
      <c r="D78" s="4" t="s">
        <v>11</v>
      </c>
      <c r="E78" s="4">
        <v>3</v>
      </c>
    </row>
    <row r="79" spans="1:5" x14ac:dyDescent="0.25">
      <c r="A79" s="11">
        <v>45993</v>
      </c>
      <c r="B79" s="4" t="s">
        <v>39</v>
      </c>
      <c r="C79" s="4" t="s">
        <v>10</v>
      </c>
      <c r="D79" s="4" t="s">
        <v>11</v>
      </c>
      <c r="E79" s="4">
        <v>5</v>
      </c>
    </row>
    <row r="80" spans="1:5" x14ac:dyDescent="0.25">
      <c r="A80" s="11">
        <v>45996</v>
      </c>
      <c r="B80" s="4" t="s">
        <v>38</v>
      </c>
      <c r="C80" s="4" t="s">
        <v>20</v>
      </c>
      <c r="D80" s="4" t="s">
        <v>21</v>
      </c>
      <c r="E80" s="4">
        <v>14</v>
      </c>
    </row>
    <row r="81" spans="1:5" x14ac:dyDescent="0.25">
      <c r="A81" s="11">
        <v>45997</v>
      </c>
      <c r="B81" s="4" t="s">
        <v>38</v>
      </c>
      <c r="C81" s="4" t="s">
        <v>22</v>
      </c>
      <c r="D81" s="4" t="s">
        <v>23</v>
      </c>
      <c r="E81" s="4">
        <v>11</v>
      </c>
    </row>
    <row r="82" spans="1:5" x14ac:dyDescent="0.25">
      <c r="A82" s="11">
        <v>45997</v>
      </c>
      <c r="B82" s="4" t="s">
        <v>36</v>
      </c>
      <c r="C82" s="4" t="s">
        <v>12</v>
      </c>
      <c r="D82" s="4" t="s">
        <v>13</v>
      </c>
      <c r="E82" s="4">
        <v>17</v>
      </c>
    </row>
    <row r="83" spans="1:5" x14ac:dyDescent="0.25">
      <c r="A83" s="11">
        <v>45998</v>
      </c>
      <c r="B83" s="4" t="s">
        <v>37</v>
      </c>
      <c r="C83" s="4" t="s">
        <v>10</v>
      </c>
      <c r="D83" s="4" t="s">
        <v>11</v>
      </c>
      <c r="E83" s="4">
        <v>14</v>
      </c>
    </row>
    <row r="84" spans="1:5" x14ac:dyDescent="0.25">
      <c r="A84" s="11">
        <v>45999</v>
      </c>
      <c r="B84" s="4" t="s">
        <v>39</v>
      </c>
      <c r="C84" s="4" t="s">
        <v>8</v>
      </c>
      <c r="D84" s="4" t="s">
        <v>9</v>
      </c>
      <c r="E84" s="4">
        <v>15</v>
      </c>
    </row>
    <row r="85" spans="1:5" x14ac:dyDescent="0.25">
      <c r="A85" s="11">
        <v>46002</v>
      </c>
      <c r="B85" s="4" t="s">
        <v>38</v>
      </c>
      <c r="C85" s="4" t="s">
        <v>6</v>
      </c>
      <c r="D85" s="4" t="s">
        <v>7</v>
      </c>
      <c r="E85" s="4">
        <v>8</v>
      </c>
    </row>
    <row r="86" spans="1:5" x14ac:dyDescent="0.25">
      <c r="A86" s="11">
        <v>46008</v>
      </c>
      <c r="B86" s="4" t="s">
        <v>37</v>
      </c>
      <c r="C86" s="4" t="s">
        <v>6</v>
      </c>
      <c r="D86" s="4" t="s">
        <v>7</v>
      </c>
      <c r="E86" s="4">
        <v>10</v>
      </c>
    </row>
    <row r="87" spans="1:5" x14ac:dyDescent="0.25">
      <c r="A87" s="11">
        <v>46014</v>
      </c>
      <c r="B87" s="4" t="s">
        <v>39</v>
      </c>
      <c r="C87" s="4" t="s">
        <v>16</v>
      </c>
      <c r="D87" s="4" t="s">
        <v>17</v>
      </c>
      <c r="E87" s="4">
        <v>19</v>
      </c>
    </row>
    <row r="88" spans="1:5" x14ac:dyDescent="0.25">
      <c r="A88" s="11">
        <v>46017</v>
      </c>
      <c r="B88" s="4" t="s">
        <v>37</v>
      </c>
      <c r="C88" s="4" t="s">
        <v>12</v>
      </c>
      <c r="D88" s="4" t="s">
        <v>13</v>
      </c>
      <c r="E88" s="4">
        <v>6</v>
      </c>
    </row>
    <row r="89" spans="1:5" x14ac:dyDescent="0.25">
      <c r="A89" s="12">
        <v>46042</v>
      </c>
      <c r="B89" t="s">
        <v>36</v>
      </c>
      <c r="C89" t="s">
        <v>4</v>
      </c>
      <c r="D89" t="s">
        <v>5</v>
      </c>
      <c r="E89">
        <v>5</v>
      </c>
    </row>
    <row r="90" spans="1:5" x14ac:dyDescent="0.25">
      <c r="A90" s="12">
        <v>46229</v>
      </c>
      <c r="B90" t="s">
        <v>36</v>
      </c>
      <c r="C90" t="s">
        <v>4</v>
      </c>
      <c r="D90" t="s">
        <v>5</v>
      </c>
      <c r="E90">
        <v>100</v>
      </c>
    </row>
    <row r="91" spans="1:5" x14ac:dyDescent="0.25">
      <c r="A91" s="12">
        <v>46230</v>
      </c>
      <c r="B91" t="s">
        <v>36</v>
      </c>
      <c r="C91" t="s">
        <v>4</v>
      </c>
      <c r="D91" t="s">
        <v>5</v>
      </c>
      <c r="E91">
        <v>50</v>
      </c>
    </row>
    <row r="92" spans="1:5" x14ac:dyDescent="0.25">
      <c r="A92" s="12">
        <v>46232</v>
      </c>
      <c r="B92" t="s">
        <v>36</v>
      </c>
      <c r="C92" t="s">
        <v>10</v>
      </c>
      <c r="D92" t="s">
        <v>11</v>
      </c>
      <c r="E92">
        <v>41</v>
      </c>
    </row>
  </sheetData>
  <pageMargins left="0.75" right="0.75" top="1" bottom="1" header="0.5" footer="0.5"/>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D19"/>
  <sheetViews>
    <sheetView workbookViewId="0">
      <selection activeCell="D4" sqref="D4"/>
    </sheetView>
  </sheetViews>
  <sheetFormatPr defaultRowHeight="15" x14ac:dyDescent="0.25"/>
  <cols>
    <col min="1" max="1" width="10" customWidth="1"/>
    <col min="2" max="2" width="40" customWidth="1"/>
    <col min="3" max="3" width="2" customWidth="1"/>
    <col min="4" max="4" width="32" customWidth="1"/>
  </cols>
  <sheetData>
    <row r="1" spans="1:4" ht="18" x14ac:dyDescent="0.25">
      <c r="A1" s="1" t="s">
        <v>44</v>
      </c>
    </row>
    <row r="2" spans="1:4" x14ac:dyDescent="0.25">
      <c r="A2" s="2" t="s">
        <v>0</v>
      </c>
    </row>
    <row r="4" spans="1:4" x14ac:dyDescent="0.25">
      <c r="A4" s="3" t="s">
        <v>1</v>
      </c>
      <c r="B4" s="3" t="s">
        <v>2</v>
      </c>
      <c r="C4" s="3"/>
      <c r="D4" s="3" t="s">
        <v>3</v>
      </c>
    </row>
    <row r="5" spans="1:4" x14ac:dyDescent="0.25">
      <c r="A5" s="4" t="s">
        <v>4</v>
      </c>
      <c r="B5" s="4" t="s">
        <v>5</v>
      </c>
      <c r="D5" s="4" t="s">
        <v>36</v>
      </c>
    </row>
    <row r="6" spans="1:4" x14ac:dyDescent="0.25">
      <c r="A6" s="4" t="s">
        <v>6</v>
      </c>
      <c r="B6" s="4" t="s">
        <v>7</v>
      </c>
      <c r="D6" s="4" t="s">
        <v>37</v>
      </c>
    </row>
    <row r="7" spans="1:4" x14ac:dyDescent="0.25">
      <c r="A7" s="4" t="s">
        <v>8</v>
      </c>
      <c r="B7" s="4" t="s">
        <v>9</v>
      </c>
      <c r="D7" s="4" t="s">
        <v>38</v>
      </c>
    </row>
    <row r="8" spans="1:4" x14ac:dyDescent="0.25">
      <c r="A8" s="4" t="s">
        <v>10</v>
      </c>
      <c r="B8" s="4" t="s">
        <v>11</v>
      </c>
      <c r="D8" s="4" t="s">
        <v>39</v>
      </c>
    </row>
    <row r="9" spans="1:4" x14ac:dyDescent="0.25">
      <c r="A9" s="4" t="s">
        <v>12</v>
      </c>
      <c r="B9" s="4" t="s">
        <v>13</v>
      </c>
    </row>
    <row r="10" spans="1:4" x14ac:dyDescent="0.25">
      <c r="A10" s="4" t="s">
        <v>14</v>
      </c>
      <c r="B10" s="4" t="s">
        <v>15</v>
      </c>
    </row>
    <row r="11" spans="1:4" x14ac:dyDescent="0.25">
      <c r="A11" s="4" t="s">
        <v>16</v>
      </c>
      <c r="B11" s="4" t="s">
        <v>17</v>
      </c>
    </row>
    <row r="12" spans="1:4" x14ac:dyDescent="0.25">
      <c r="A12" s="4" t="s">
        <v>18</v>
      </c>
      <c r="B12" s="4" t="s">
        <v>19</v>
      </c>
    </row>
    <row r="13" spans="1:4" x14ac:dyDescent="0.25">
      <c r="A13" s="4" t="s">
        <v>20</v>
      </c>
      <c r="B13" s="4" t="s">
        <v>21</v>
      </c>
    </row>
    <row r="14" spans="1:4" x14ac:dyDescent="0.25">
      <c r="A14" s="4" t="s">
        <v>22</v>
      </c>
      <c r="B14" s="4" t="s">
        <v>23</v>
      </c>
    </row>
    <row r="15" spans="1:4" x14ac:dyDescent="0.25">
      <c r="A15" s="4" t="s">
        <v>24</v>
      </c>
      <c r="B15" s="4" t="s">
        <v>25</v>
      </c>
    </row>
    <row r="16" spans="1:4" x14ac:dyDescent="0.25">
      <c r="A16" s="4" t="s">
        <v>26</v>
      </c>
      <c r="B16" s="4" t="s">
        <v>27</v>
      </c>
    </row>
    <row r="17" spans="1:2" x14ac:dyDescent="0.25">
      <c r="A17" s="4" t="s">
        <v>28</v>
      </c>
      <c r="B17" s="4" t="s">
        <v>29</v>
      </c>
    </row>
    <row r="18" spans="1:2" x14ac:dyDescent="0.25">
      <c r="A18" s="4" t="s">
        <v>30</v>
      </c>
      <c r="B18" s="4" t="s">
        <v>31</v>
      </c>
    </row>
    <row r="19" spans="1:2" x14ac:dyDescent="0.25">
      <c r="A19" s="4" t="s">
        <v>32</v>
      </c>
      <c r="B19" s="4" t="s">
        <v>33</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375900-4440-4933-9C66-7F8779E5410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Inventory</vt:lpstr>
      <vt:lpstr>Analysis</vt:lpstr>
      <vt:lpstr>General</vt:lpstr>
      <vt:lpstr>Opening Stock</vt:lpstr>
      <vt:lpstr>Stock In</vt:lpstr>
      <vt:lpstr>Stock Out</vt:lpstr>
      <vt:lpstr>Catalogue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KWAME ASASE</cp:lastModifiedBy>
  <dcterms:created xsi:type="dcterms:W3CDTF">2026-07-15T15:17:39Z</dcterms:created>
  <dcterms:modified xsi:type="dcterms:W3CDTF">2026-07-31T20:49:07Z</dcterms:modified>
</cp:coreProperties>
</file>